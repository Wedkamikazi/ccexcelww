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ymentCalendar" sheetId="2" state="visible" r:id="rId2"/>
    <sheet name="TimeDeposits" sheetId="3" state="visible" r:id="rId3"/>
    <sheet name="CashFlowPositions" sheetId="4" state="visible" r:id="rId4"/>
    <sheet name="PaymentsData" sheetId="5" state="visible" r:id="rId5"/>
    <sheet name="DepositsData" sheetId="6" state="visible" r:id="rId6"/>
    <sheet name="CashTransactions" sheetId="7" state="visible" r:id="rId7"/>
    <sheet name="Sett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MMM DD"/>
    <numFmt numFmtId="166" formatCode="&quot;$&quot;#,##0.00"/>
    <numFmt numFmtId="167" formatCode="YYYY-MM-DD"/>
    <numFmt numFmtId="168" formatCode="0.0%"/>
    <numFmt numFmtId="169" formatCode="yyyy-mm-dd h:mm:ss"/>
  </numFmts>
  <fonts count="27">
    <font>
      <name val="Calibri"/>
      <family val="2"/>
      <color theme="1"/>
      <sz val="11"/>
      <scheme val="minor"/>
    </font>
    <font>
      <name val="Calibri"/>
      <b val="1"/>
      <color rgb="001D1D1F"/>
      <sz val="28"/>
    </font>
    <font>
      <name val="Calibri"/>
      <b val="1"/>
      <color rgb="0086868B"/>
      <sz val="12"/>
    </font>
    <font>
      <name val="Calibri"/>
      <color rgb="0086868B"/>
      <sz val="9"/>
    </font>
    <font>
      <name val="Calibri"/>
      <b val="1"/>
      <color rgb="00007AFF"/>
      <sz val="24"/>
    </font>
    <font>
      <name val="Calibri"/>
      <b val="1"/>
      <color rgb="00FF9500"/>
      <sz val="24"/>
    </font>
    <font>
      <name val="Calibri"/>
      <b val="1"/>
      <color rgb="0034C759"/>
      <sz val="24"/>
    </font>
    <font>
      <name val="Calibri"/>
      <b val="1"/>
      <color rgb="00FF3B30"/>
      <sz val="24"/>
    </font>
    <font>
      <name val="Calibri"/>
      <b val="1"/>
      <color rgb="001D1D1F"/>
      <sz val="14"/>
    </font>
    <font>
      <name val="Calibri"/>
      <b val="1"/>
      <color rgb="00FFFFFF"/>
      <sz val="10"/>
    </font>
    <font>
      <name val="Calibri"/>
      <color rgb="001D1D1F"/>
      <sz val="11"/>
    </font>
    <font>
      <name val="Calibri"/>
      <color rgb="00007AFF"/>
      <sz val="11"/>
      <u val="single"/>
    </font>
    <font>
      <name val="Calibri"/>
      <b val="1"/>
      <color rgb="00007AFF"/>
      <sz val="14"/>
    </font>
    <font>
      <name val="Calibri"/>
      <b val="1"/>
      <color rgb="00FFFFFF"/>
      <sz val="11"/>
    </font>
    <font>
      <name val="Calibri"/>
      <b val="1"/>
      <color rgb="001D1D1F"/>
      <sz val="12"/>
    </font>
    <font>
      <name val="Calibri"/>
      <color rgb="0034C759"/>
      <sz val="14"/>
    </font>
    <font>
      <name val="Calibri"/>
      <color rgb="00FF9500"/>
      <sz val="14"/>
    </font>
    <font>
      <name val="Calibri"/>
      <color rgb="00007AFF"/>
      <sz val="14"/>
    </font>
    <font>
      <name val="Calibri"/>
      <color rgb="00FF3B30"/>
      <sz val="14"/>
    </font>
    <font>
      <name val="Calibri"/>
      <color rgb="0086868B"/>
      <sz val="14"/>
    </font>
    <font>
      <name val="Calibri"/>
      <color rgb="00FF3B30"/>
      <sz val="11"/>
    </font>
    <font>
      <name val="Calibri"/>
      <b val="1"/>
      <color rgb="0034C759"/>
      <sz val="20"/>
    </font>
    <font>
      <name val="Calibri"/>
      <b val="1"/>
      <color rgb="00007AFF"/>
      <sz val="20"/>
    </font>
    <font>
      <name val="Calibri"/>
      <b val="1"/>
      <color rgb="005AC8FA"/>
      <sz val="20"/>
    </font>
    <font>
      <name val="Calibri"/>
      <b val="1"/>
      <color rgb="00FF9500"/>
      <sz val="20"/>
    </font>
    <font>
      <name val="Calibri"/>
      <b val="1"/>
      <color rgb="0086868B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07AFF"/>
        <bgColor rgb="00007AFF"/>
      </patternFill>
    </fill>
    <fill>
      <patternFill patternType="solid">
        <fgColor rgb="0034C759"/>
        <bgColor rgb="0034C759"/>
      </patternFill>
    </fill>
    <fill>
      <patternFill patternType="solid">
        <fgColor rgb="0086868B"/>
        <bgColor rgb="0086868B"/>
      </patternFill>
    </fill>
    <fill>
      <patternFill patternType="solid">
        <fgColor rgb="00F5F5F7"/>
        <bgColor rgb="00F5F5F7"/>
      </patternFill>
    </fill>
    <fill>
      <patternFill patternType="solid">
        <fgColor rgb="00E3F2FD"/>
        <bgColor rgb="00E3F2FD"/>
      </patternFill>
    </fill>
    <fill>
      <patternFill patternType="solid">
        <fgColor rgb="005AC8FA"/>
        <bgColor rgb="005AC8FA"/>
      </patternFill>
    </fill>
    <fill>
      <patternFill patternType="solid">
        <fgColor rgb="00AF52DE"/>
        <bgColor rgb="00AF52DE"/>
      </patternFill>
    </fill>
    <fill>
      <patternFill patternType="solid">
        <fgColor rgb="00FF9500"/>
        <bgColor rgb="00FF9500"/>
      </patternFill>
    </fill>
  </fills>
  <borders count="26">
    <border>
      <left/>
      <right/>
      <top/>
      <bottom/>
      <diagonal/>
    </border>
    <border>
      <left style="medium">
        <color rgb="00F5F5F7"/>
      </left>
      <right style="thin">
        <color rgb="00F5F5F7"/>
      </right>
      <top style="medium">
        <color rgb="00F5F5F7"/>
      </top>
      <bottom style="thin">
        <color rgb="00F5F5F7"/>
      </bottom>
    </border>
    <border>
      <left style="thin">
        <color rgb="00F5F5F7"/>
      </left>
      <right style="medium">
        <color rgb="00F5F5F7"/>
      </right>
      <top style="medium">
        <color rgb="00F5F5F7"/>
      </top>
      <bottom style="thin">
        <color rgb="00F5F5F7"/>
      </bottom>
    </border>
    <border>
      <left style="medium">
        <color rgb="00F5F5F7"/>
      </left>
      <right style="thin">
        <color rgb="00F5F5F7"/>
      </right>
      <top style="thin">
        <color rgb="00F5F5F7"/>
      </top>
      <bottom style="thin">
        <color rgb="00F5F5F7"/>
      </bottom>
    </border>
    <border>
      <left style="thin">
        <color rgb="00F5F5F7"/>
      </left>
      <right style="medium">
        <color rgb="00F5F5F7"/>
      </right>
      <top style="thin">
        <color rgb="00F5F5F7"/>
      </top>
      <bottom style="thin">
        <color rgb="00F5F5F7"/>
      </bottom>
    </border>
    <border>
      <left style="medium">
        <color rgb="00F5F5F7"/>
      </left>
      <right style="thin">
        <color rgb="00F5F5F7"/>
      </right>
      <top style="thin">
        <color rgb="00F5F5F7"/>
      </top>
      <bottom style="medium">
        <color rgb="00F5F5F7"/>
      </bottom>
    </border>
    <border>
      <left style="thin">
        <color rgb="00F5F5F7"/>
      </left>
      <right style="medium">
        <color rgb="00F5F5F7"/>
      </right>
      <top style="thin">
        <color rgb="00F5F5F7"/>
      </top>
      <bottom style="medium">
        <color rgb="00F5F5F7"/>
      </bottom>
    </border>
    <border>
      <left/>
      <right/>
      <top style="medium">
        <color rgb="00F5F5F7"/>
      </top>
      <bottom/>
      <diagonal/>
    </border>
    <border>
      <left/>
      <right style="thin">
        <color rgb="00F5F5F7"/>
      </right>
      <top style="medium">
        <color rgb="00F5F5F7"/>
      </top>
      <bottom/>
      <diagonal/>
    </border>
    <border>
      <left/>
      <right style="thin">
        <color rgb="00F5F5F7"/>
      </right>
      <top style="medium">
        <color rgb="00F5F5F7"/>
      </top>
      <bottom style="thin">
        <color rgb="00F5F5F7"/>
      </bottom>
      <diagonal/>
    </border>
    <border>
      <left/>
      <right/>
      <top style="thin">
        <color rgb="00F5F5F7"/>
      </top>
      <bottom/>
      <diagonal/>
    </border>
    <border>
      <left style="medium">
        <color rgb="00F5F5F7"/>
      </left>
      <right/>
      <top/>
      <bottom/>
      <diagonal/>
    </border>
    <border>
      <left/>
      <right style="thin">
        <color rgb="00F5F5F7"/>
      </right>
      <top style="thin">
        <color rgb="00F5F5F7"/>
      </top>
      <bottom/>
      <diagonal/>
    </border>
    <border>
      <left/>
      <right style="thin">
        <color rgb="00F5F5F7"/>
      </right>
      <top/>
      <bottom/>
      <diagonal/>
    </border>
    <border>
      <left style="medium">
        <color rgb="00F5F5F7"/>
      </left>
      <right/>
      <top/>
      <bottom style="thin">
        <color rgb="00F5F5F7"/>
      </bottom>
      <diagonal/>
    </border>
    <border>
      <left/>
      <right style="thin">
        <color rgb="00F5F5F7"/>
      </right>
      <top/>
      <bottom style="thin">
        <color rgb="00F5F5F7"/>
      </bottom>
      <diagonal/>
    </border>
    <border>
      <left style="medium">
        <color rgb="00F5F5F7"/>
      </left>
      <right style="medium">
        <color rgb="00F5F5F7"/>
      </right>
      <top style="medium">
        <color rgb="00F5F5F7"/>
      </top>
      <bottom style="thin">
        <color rgb="00F5F5F7"/>
      </bottom>
    </border>
    <border>
      <left style="medium">
        <color rgb="00F5F5F7"/>
      </left>
      <right style="medium">
        <color rgb="00F5F5F7"/>
      </right>
      <top style="thin">
        <color rgb="00F5F5F7"/>
      </top>
      <bottom style="thin">
        <color rgb="00F5F5F7"/>
      </bottom>
    </border>
    <border>
      <left style="medium">
        <color rgb="00F5F5F7"/>
      </left>
      <right style="medium">
        <color rgb="00F5F5F7"/>
      </right>
      <top style="thin">
        <color rgb="00F5F5F7"/>
      </top>
      <bottom style="medium">
        <color rgb="00F5F5F7"/>
      </bottom>
    </border>
    <border>
      <left style="medium">
        <color rgb="00F5F5F7"/>
      </left>
      <right style="medium">
        <color rgb="00F5F5F7"/>
      </right>
      <top/>
      <bottom/>
      <diagonal/>
    </border>
    <border>
      <left style="medium">
        <color rgb="00F5F5F7"/>
      </left>
      <right style="medium">
        <color rgb="00F5F5F7"/>
      </right>
      <top/>
      <bottom style="thin">
        <color rgb="00F5F5F7"/>
      </bottom>
      <diagonal/>
    </border>
    <border>
      <left style="thin">
        <color rgb="00F5F5F7"/>
      </left>
      <right style="thin">
        <color rgb="00F5F5F7"/>
      </right>
      <top style="thin">
        <color rgb="00F5F5F7"/>
      </top>
      <bottom style="thin">
        <color rgb="00F5F5F7"/>
      </bottom>
    </border>
    <border>
      <left style="thin">
        <color rgb="00F5F5F7"/>
      </left>
      <right style="thin">
        <color rgb="00F5F5F7"/>
      </right>
      <top style="thin">
        <color rgb="00F5F5F7"/>
      </top>
    </border>
    <border>
      <left style="thin">
        <color rgb="00F5F5F7"/>
      </left>
      <right style="thin">
        <color rgb="00F5F5F7"/>
      </right>
    </border>
    <border>
      <left style="thin">
        <color rgb="00F5F5F7"/>
      </left>
      <right style="thin">
        <color rgb="00F5F5F7"/>
      </right>
      <bottom style="thin">
        <color rgb="00F5F5F7"/>
      </bottom>
    </border>
    <border>
      <left/>
      <right style="thin">
        <color rgb="00F5F5F7"/>
      </right>
      <top style="thin">
        <color rgb="00F5F5F7"/>
      </top>
      <bottom style="thin">
        <color rgb="00F5F5F7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pivotButton="0" quotePrefix="0" xfId="0"/>
    <xf numFmtId="0" fontId="0" fillId="0" borderId="9" pivotButton="0" quotePrefix="0" xfId="0"/>
    <xf numFmtId="0" fontId="3" fillId="2" borderId="16" pivotButton="0" quotePrefix="0" xfId="0"/>
    <xf numFmtId="164" fontId="4" fillId="2" borderId="3" pivotButton="0" quotePrefix="0" xfId="0"/>
    <xf numFmtId="0" fontId="0" fillId="0" borderId="12" pivotButton="0" quotePrefix="0" xfId="0"/>
    <xf numFmtId="164" fontId="5" fillId="2" borderId="3" pivotButton="0" quotePrefix="0" xfId="0"/>
    <xf numFmtId="164" fontId="6" fillId="2" borderId="3" pivotButton="0" quotePrefix="0" xfId="0"/>
    <xf numFmtId="0" fontId="7" fillId="2" borderId="17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3" fillId="2" borderId="5" pivotButton="0" quotePrefix="0" xfId="0"/>
    <xf numFmtId="0" fontId="0" fillId="2" borderId="6" pivotButton="0" quotePrefix="0" xfId="0"/>
    <xf numFmtId="0" fontId="3" fillId="2" borderId="18" pivotButton="0" quotePrefix="0" xfId="0"/>
    <xf numFmtId="0" fontId="8" fillId="0" borderId="0" pivotButton="0" quotePrefix="0" xfId="0"/>
    <xf numFmtId="0" fontId="9" fillId="3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165" fontId="10" fillId="0" borderId="21" pivotButton="0" quotePrefix="0" xfId="0"/>
    <xf numFmtId="0" fontId="10" fillId="0" borderId="21" pivotButton="0" quotePrefix="0" xfId="0"/>
    <xf numFmtId="166" fontId="10" fillId="0" borderId="21" pivotButton="0" quotePrefix="0" xfId="0"/>
    <xf numFmtId="164" fontId="10" fillId="0" borderId="21" pivotButton="0" quotePrefix="0" xfId="0"/>
    <xf numFmtId="0" fontId="9" fillId="5" borderId="0" applyAlignment="1" pivotButton="0" quotePrefix="0" xfId="0">
      <alignment horizontal="center" vertical="center" wrapText="1"/>
    </xf>
    <xf numFmtId="164" fontId="0" fillId="0" borderId="21" pivotButton="0" quotePrefix="0" xfId="0"/>
    <xf numFmtId="0" fontId="1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12" fillId="0" borderId="0" pivotButton="0" quotePrefix="0" xfId="0"/>
    <xf numFmtId="0" fontId="13" fillId="3" borderId="21" applyAlignment="1" pivotButton="0" quotePrefix="0" xfId="0">
      <alignment horizontal="center" vertical="center" wrapText="1"/>
    </xf>
    <xf numFmtId="0" fontId="0" fillId="6" borderId="22" pivotButton="0" quotePrefix="0" xfId="0"/>
    <xf numFmtId="0" fontId="14" fillId="0" borderId="22" applyAlignment="1" pivotButton="0" quotePrefix="0" xfId="0">
      <alignment horizontal="right" vertical="top"/>
    </xf>
    <xf numFmtId="0" fontId="0" fillId="6" borderId="23" pivotButton="0" quotePrefix="0" xfId="0"/>
    <xf numFmtId="0" fontId="3" fillId="0" borderId="23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0" fillId="6" borderId="24" pivotButton="0" quotePrefix="0" xfId="0"/>
    <xf numFmtId="0" fontId="0" fillId="0" borderId="24" pivotButton="0" quotePrefix="0" xfId="0"/>
    <xf numFmtId="0" fontId="18" fillId="0" borderId="0" applyAlignment="1" pivotButton="0" quotePrefix="0" xfId="0">
      <alignment horizontal="center" vertical="center"/>
    </xf>
    <xf numFmtId="0" fontId="14" fillId="7" borderId="22" applyAlignment="1" pivotButton="0" quotePrefix="0" xfId="0">
      <alignment horizontal="right" vertical="top"/>
    </xf>
    <xf numFmtId="0" fontId="19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20" fillId="0" borderId="0" pivotButton="0" quotePrefix="0" xfId="0"/>
    <xf numFmtId="0" fontId="0" fillId="2" borderId="2" pivotButton="0" quotePrefix="0" xfId="0"/>
    <xf numFmtId="164" fontId="21" fillId="2" borderId="3" pivotButton="0" quotePrefix="0" xfId="0"/>
    <xf numFmtId="0" fontId="0" fillId="0" borderId="25" pivotButton="0" quotePrefix="0" xfId="0"/>
    <xf numFmtId="10" fontId="22" fillId="2" borderId="3" pivotButton="0" quotePrefix="0" xfId="0"/>
    <xf numFmtId="164" fontId="23" fillId="2" borderId="3" pivotButton="0" quotePrefix="0" xfId="0"/>
    <xf numFmtId="164" fontId="24" fillId="2" borderId="3" pivotButton="0" quotePrefix="0" xfId="0"/>
    <xf numFmtId="0" fontId="0" fillId="2" borderId="5" pivotButton="0" quotePrefix="0" xfId="0"/>
    <xf numFmtId="0" fontId="9" fillId="4" borderId="2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166" fontId="10" fillId="0" borderId="21" applyAlignment="1" pivotButton="0" quotePrefix="0" xfId="0">
      <alignment horizontal="center" vertical="center" wrapText="1"/>
    </xf>
    <xf numFmtId="10" fontId="10" fillId="0" borderId="21" applyAlignment="1" pivotButton="0" quotePrefix="0" xfId="0">
      <alignment horizontal="center" vertical="center" wrapText="1"/>
    </xf>
    <xf numFmtId="167" fontId="10" fillId="0" borderId="21" applyAlignment="1" pivotButton="0" quotePrefix="0" xfId="0">
      <alignment horizontal="center" vertical="center" wrapText="1"/>
    </xf>
    <xf numFmtId="0" fontId="25" fillId="6" borderId="0" applyAlignment="1" pivotButton="0" quotePrefix="0" xfId="0">
      <alignment horizontal="center" vertical="center" wrapText="1"/>
    </xf>
    <xf numFmtId="0" fontId="0" fillId="0" borderId="21" pivotButton="0" quotePrefix="0" xfId="0"/>
    <xf numFmtId="168" fontId="0" fillId="0" borderId="21" pivotButton="0" quotePrefix="0" xfId="0"/>
    <xf numFmtId="0" fontId="9" fillId="3" borderId="21" applyAlignment="1" pivotButton="0" quotePrefix="0" xfId="0">
      <alignment horizontal="center" vertical="center" wrapText="1"/>
    </xf>
    <xf numFmtId="0" fontId="9" fillId="8" borderId="21" applyAlignment="1" pivotButton="0" quotePrefix="0" xfId="0">
      <alignment horizontal="center" vertical="center" wrapText="1"/>
    </xf>
    <xf numFmtId="165" fontId="10" fillId="7" borderId="21" pivotButton="0" quotePrefix="0" xfId="0"/>
    <xf numFmtId="0" fontId="10" fillId="7" borderId="21" pivotButton="0" quotePrefix="0" xfId="0"/>
    <xf numFmtId="164" fontId="10" fillId="7" borderId="21" pivotButton="0" quotePrefix="0" xfId="0"/>
    <xf numFmtId="0" fontId="9" fillId="9" borderId="21" applyAlignment="1" pivotButton="0" quotePrefix="0" xfId="0">
      <alignment horizontal="center" vertical="center" wrapText="1"/>
    </xf>
    <xf numFmtId="0" fontId="9" fillId="10" borderId="21" applyAlignment="1" pivotButton="0" quotePrefix="0" xfId="0">
      <alignment horizontal="center" vertical="center" wrapText="1"/>
    </xf>
    <xf numFmtId="167" fontId="10" fillId="0" borderId="21" pivotButton="0" quotePrefix="0" xfId="0"/>
    <xf numFmtId="0" fontId="13" fillId="4" borderId="21" applyAlignment="1" pivotButton="0" quotePrefix="0" xfId="0">
      <alignment horizontal="center" vertical="center" wrapText="1"/>
    </xf>
    <xf numFmtId="10" fontId="10" fillId="0" borderId="21" pivotButton="0" quotePrefix="0" xfId="0"/>
    <xf numFmtId="0" fontId="13" fillId="5" borderId="21" applyAlignment="1" pivotButton="0" quotePrefix="0" xfId="0">
      <alignment horizontal="center" vertical="center" wrapText="1"/>
    </xf>
    <xf numFmtId="166" fontId="0" fillId="0" borderId="21" pivotButton="0" quotePrefix="0" xfId="0"/>
    <xf numFmtId="0" fontId="10" fillId="6" borderId="0" pivotButton="0" quotePrefix="0" xfId="0"/>
    <xf numFmtId="0" fontId="2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EBEE"/>
          <bgColor rgb="00FFEBEE"/>
        </patternFill>
      </fill>
    </dxf>
    <dxf>
      <fill>
        <patternFill patternType="solid">
          <fgColor rgb="00FFF3E0"/>
          <bgColor rgb="00FFF3E0"/>
        </patternFill>
      </fill>
    </dxf>
    <dxf>
      <fill>
        <patternFill patternType="solid">
          <fgColor rgb="00E3F2FD"/>
          <bgColor rgb="00E3F2FD"/>
        </patternFill>
      </fill>
    </dxf>
    <dxf>
      <fill>
        <patternFill patternType="solid">
          <fgColor rgb="00F5F5F7"/>
          <bgColor rgb="00F5F5F7"/>
        </patternFill>
      </fill>
    </dxf>
    <dxf>
      <font>
        <color rgb="0034C759"/>
      </font>
    </dxf>
    <dxf>
      <font>
        <color rgb="00FF3B3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aymentCalendar!A1" TargetMode="External" Id="rId1" /><Relationship Type="http://schemas.openxmlformats.org/officeDocument/2006/relationships/hyperlink" Target="TimeDeposits!A1" TargetMode="External" Id="rId2" /><Relationship Type="http://schemas.openxmlformats.org/officeDocument/2006/relationships/hyperlink" Target="CashFlowPositions!A1" TargetMode="External" Id="rId3" /><Relationship Type="http://schemas.openxmlformats.org/officeDocument/2006/relationships/hyperlink" Target="Settings!A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" t="inlineStr">
        <is>
          <t>Cash Management Controller</t>
        </is>
      </c>
    </row>
    <row r="3">
      <c r="B3" s="2" t="inlineStr">
        <is>
          <t>Dashboard Overview • December 12, 2025</t>
        </is>
      </c>
    </row>
    <row r="5">
      <c r="B5" s="3" t="inlineStr">
        <is>
          <t>Total Cash Position</t>
        </is>
      </c>
      <c r="C5" s="4" t="n"/>
      <c r="D5" s="3" t="inlineStr">
        <is>
          <t>Pending Payments</t>
        </is>
      </c>
      <c r="E5" s="4" t="n"/>
      <c r="F5" s="3" t="inlineStr">
        <is>
          <t>Active Time Deposits</t>
        </is>
      </c>
      <c r="G5" s="4" t="n"/>
      <c r="H5" s="5" t="inlineStr">
        <is>
          <t>Overdue</t>
        </is>
      </c>
    </row>
    <row r="6">
      <c r="B6" s="6">
        <f>CashTransactions!J2</f>
        <v/>
      </c>
      <c r="C6" s="7" t="n"/>
      <c r="D6" s="8">
        <f>SUMIF(PaymentsData!F:F,"Pending",PaymentsData!D:D)</f>
        <v/>
      </c>
      <c r="E6" s="7" t="n"/>
      <c r="F6" s="9">
        <f>SUMIF(DepositsData!G:G,"Active",DepositsData!D:D)</f>
        <v/>
      </c>
      <c r="G6" s="7" t="n"/>
      <c r="H6" s="10">
        <f>COUNTIF(PaymentsData!F:F,"Overdue")</f>
        <v/>
      </c>
    </row>
    <row r="7">
      <c r="B7" s="11" t="n"/>
      <c r="C7" s="12" t="n"/>
      <c r="D7" s="11" t="n"/>
      <c r="E7" s="12" t="n"/>
      <c r="F7" s="11" t="n"/>
      <c r="G7" s="12" t="n"/>
      <c r="H7" s="13" t="n"/>
    </row>
    <row r="8">
      <c r="B8" s="14" t="inlineStr">
        <is>
          <t>Current Balance</t>
        </is>
      </c>
      <c r="C8" s="15" t="n"/>
      <c r="D8" s="14">
        <f>COUNTIF(PaymentsData!F:F,"Pending")&amp;" payments"</f>
        <v/>
      </c>
      <c r="E8" s="15" t="n"/>
      <c r="F8" s="14">
        <f>COUNTIF(DepositsData!G:G,"Active")&amp;" deposits"</f>
        <v/>
      </c>
      <c r="G8" s="15" t="n"/>
      <c r="H8" s="16" t="inlineStr">
        <is>
          <t>Items</t>
        </is>
      </c>
    </row>
    <row r="10">
      <c r="B10" s="17" t="inlineStr">
        <is>
          <t>Upcoming Payments (Next 7 Days)</t>
        </is>
      </c>
      <c r="G10" s="17" t="inlineStr">
        <is>
          <t>Maturing Deposits (Next 30 Days)</t>
        </is>
      </c>
    </row>
    <row r="11">
      <c r="B11" s="18" t="inlineStr">
        <is>
          <t>Date</t>
        </is>
      </c>
      <c r="C11" s="18" t="inlineStr">
        <is>
          <t>Payee</t>
        </is>
      </c>
      <c r="D11" s="18" t="inlineStr">
        <is>
          <t>Amount</t>
        </is>
      </c>
      <c r="E11" s="18" t="inlineStr">
        <is>
          <t>Category</t>
        </is>
      </c>
      <c r="F11" s="18" t="inlineStr">
        <is>
          <t>Status</t>
        </is>
      </c>
      <c r="G11" s="19" t="inlineStr">
        <is>
          <t>Maturity</t>
        </is>
      </c>
      <c r="H11" s="19" t="inlineStr">
        <is>
          <t>Amount</t>
        </is>
      </c>
    </row>
    <row r="12">
      <c r="B12" s="20">
        <f>IFERROR(INDEX(PaymentsData!B:B,SMALL(IF((PaymentsData!B:B&gt;=TODAY())*(PaymentsData!B:B&lt;=TODAY()+7),ROW(PaymentsData!B:B)),1)),"")</f>
        <v/>
      </c>
      <c r="C12" s="21">
        <f>IFERROR(INDEX(PaymentsData!C:C,SMALL(IF((PaymentsData!B:B&gt;=TODAY())*(PaymentsData!B:B&lt;=TODAY()+7),ROW(PaymentsData!B:B)),1)),"")</f>
        <v/>
      </c>
      <c r="D12" s="22">
        <f>IFERROR(INDEX(PaymentsData!D:D,SMALL(IF((PaymentsData!B:B&gt;=TODAY())*(PaymentsData!B:B&lt;=TODAY()+7),ROW(PaymentsData!B:B)),1)),"")</f>
        <v/>
      </c>
      <c r="E12" s="21">
        <f>IFERROR(INDEX(PaymentsData!E:E,SMALL(IF((PaymentsData!B:B&gt;=TODAY())*(PaymentsData!B:B&lt;=TODAY()+7),ROW(PaymentsData!B:B)),1)),"")</f>
        <v/>
      </c>
      <c r="F12" s="21">
        <f>IFERROR(INDEX(PaymentsData!F:F,SMALL(IF((PaymentsData!B:B&gt;=TODAY())*(PaymentsData!B:B&lt;=TODAY()+7),ROW(PaymentsData!B:B)),1)),"")</f>
        <v/>
      </c>
      <c r="G12" s="20">
        <f>IFERROR(INDEX(DepositsData!F:F,SMALL(IF((DepositsData!F:F&gt;=TODAY())*(DepositsData!F:F&lt;=TODAY()+30)*(DepositsData!G:G="Active"),ROW(DepositsData!F:F)),1)),"")</f>
        <v/>
      </c>
      <c r="H12" s="23">
        <f>IFERROR(INDEX(DepositsData!D:D,SMALL(IF((DepositsData!F:F&gt;=TODAY())*(DepositsData!F:F&lt;=TODAY()+30)*(DepositsData!G:G="Active"),ROW(DepositsData!F:F)),1)),"")</f>
        <v/>
      </c>
    </row>
    <row r="13">
      <c r="B13" s="20">
        <f>IFERROR(INDEX(PaymentsData!B:B,SMALL(IF((PaymentsData!B:B&gt;=TODAY())*(PaymentsData!B:B&lt;=TODAY()+7),ROW(PaymentsData!B:B)),2)),"")</f>
        <v/>
      </c>
      <c r="C13" s="21">
        <f>IFERROR(INDEX(PaymentsData!C:C,SMALL(IF((PaymentsData!B:B&gt;=TODAY())*(PaymentsData!B:B&lt;=TODAY()+7),ROW(PaymentsData!B:B)),2)),"")</f>
        <v/>
      </c>
      <c r="D13" s="22">
        <f>IFERROR(INDEX(PaymentsData!D:D,SMALL(IF((PaymentsData!B:B&gt;=TODAY())*(PaymentsData!B:B&lt;=TODAY()+7),ROW(PaymentsData!B:B)),2)),"")</f>
        <v/>
      </c>
      <c r="E13" s="21">
        <f>IFERROR(INDEX(PaymentsData!E:E,SMALL(IF((PaymentsData!B:B&gt;=TODAY())*(PaymentsData!B:B&lt;=TODAY()+7),ROW(PaymentsData!B:B)),2)),"")</f>
        <v/>
      </c>
      <c r="F13" s="21">
        <f>IFERROR(INDEX(PaymentsData!F:F,SMALL(IF((PaymentsData!B:B&gt;=TODAY())*(PaymentsData!B:B&lt;=TODAY()+7),ROW(PaymentsData!B:B)),2)),"")</f>
        <v/>
      </c>
      <c r="G13" s="20">
        <f>IFERROR(INDEX(DepositsData!F:F,SMALL(IF((DepositsData!F:F&gt;=TODAY())*(DepositsData!F:F&lt;=TODAY()+30)*(DepositsData!G:G="Active"),ROW(DepositsData!F:F)),2)),"")</f>
        <v/>
      </c>
      <c r="H13" s="23">
        <f>IFERROR(INDEX(DepositsData!D:D,SMALL(IF((DepositsData!F:F&gt;=TODAY())*(DepositsData!F:F&lt;=TODAY()+30)*(DepositsData!G:G="Active"),ROW(DepositsData!F:F)),2)),"")</f>
        <v/>
      </c>
    </row>
    <row r="14">
      <c r="B14" s="20">
        <f>IFERROR(INDEX(PaymentsData!B:B,SMALL(IF((PaymentsData!B:B&gt;=TODAY())*(PaymentsData!B:B&lt;=TODAY()+7),ROW(PaymentsData!B:B)),3)),"")</f>
        <v/>
      </c>
      <c r="C14" s="21">
        <f>IFERROR(INDEX(PaymentsData!C:C,SMALL(IF((PaymentsData!B:B&gt;=TODAY())*(PaymentsData!B:B&lt;=TODAY()+7),ROW(PaymentsData!B:B)),3)),"")</f>
        <v/>
      </c>
      <c r="D14" s="22">
        <f>IFERROR(INDEX(PaymentsData!D:D,SMALL(IF((PaymentsData!B:B&gt;=TODAY())*(PaymentsData!B:B&lt;=TODAY()+7),ROW(PaymentsData!B:B)),3)),"")</f>
        <v/>
      </c>
      <c r="E14" s="21">
        <f>IFERROR(INDEX(PaymentsData!E:E,SMALL(IF((PaymentsData!B:B&gt;=TODAY())*(PaymentsData!B:B&lt;=TODAY()+7),ROW(PaymentsData!B:B)),3)),"")</f>
        <v/>
      </c>
      <c r="F14" s="21">
        <f>IFERROR(INDEX(PaymentsData!F:F,SMALL(IF((PaymentsData!B:B&gt;=TODAY())*(PaymentsData!B:B&lt;=TODAY()+7),ROW(PaymentsData!B:B)),3)),"")</f>
        <v/>
      </c>
      <c r="G14" s="20">
        <f>IFERROR(INDEX(DepositsData!F:F,SMALL(IF((DepositsData!F:F&gt;=TODAY())*(DepositsData!F:F&lt;=TODAY()+30)*(DepositsData!G:G="Active"),ROW(DepositsData!F:F)),3)),"")</f>
        <v/>
      </c>
      <c r="H14" s="23">
        <f>IFERROR(INDEX(DepositsData!D:D,SMALL(IF((DepositsData!F:F&gt;=TODAY())*(DepositsData!F:F&lt;=TODAY()+30)*(DepositsData!G:G="Active"),ROW(DepositsData!F:F)),3)),"")</f>
        <v/>
      </c>
    </row>
    <row r="15">
      <c r="B15" s="20">
        <f>IFERROR(INDEX(PaymentsData!B:B,SMALL(IF((PaymentsData!B:B&gt;=TODAY())*(PaymentsData!B:B&lt;=TODAY()+7),ROW(PaymentsData!B:B)),4)),"")</f>
        <v/>
      </c>
      <c r="C15" s="21">
        <f>IFERROR(INDEX(PaymentsData!C:C,SMALL(IF((PaymentsData!B:B&gt;=TODAY())*(PaymentsData!B:B&lt;=TODAY()+7),ROW(PaymentsData!B:B)),4)),"")</f>
        <v/>
      </c>
      <c r="D15" s="22">
        <f>IFERROR(INDEX(PaymentsData!D:D,SMALL(IF((PaymentsData!B:B&gt;=TODAY())*(PaymentsData!B:B&lt;=TODAY()+7),ROW(PaymentsData!B:B)),4)),"")</f>
        <v/>
      </c>
      <c r="E15" s="21">
        <f>IFERROR(INDEX(PaymentsData!E:E,SMALL(IF((PaymentsData!B:B&gt;=TODAY())*(PaymentsData!B:B&lt;=TODAY()+7),ROW(PaymentsData!B:B)),4)),"")</f>
        <v/>
      </c>
      <c r="F15" s="21">
        <f>IFERROR(INDEX(PaymentsData!F:F,SMALL(IF((PaymentsData!B:B&gt;=TODAY())*(PaymentsData!B:B&lt;=TODAY()+7),ROW(PaymentsData!B:B)),4)),"")</f>
        <v/>
      </c>
      <c r="G15" s="20">
        <f>IFERROR(INDEX(DepositsData!F:F,SMALL(IF((DepositsData!F:F&gt;=TODAY())*(DepositsData!F:F&lt;=TODAY()+30)*(DepositsData!G:G="Active"),ROW(DepositsData!F:F)),4)),"")</f>
        <v/>
      </c>
      <c r="H15" s="23">
        <f>IFERROR(INDEX(DepositsData!D:D,SMALL(IF((DepositsData!F:F&gt;=TODAY())*(DepositsData!F:F&lt;=TODAY()+30)*(DepositsData!G:G="Active"),ROW(DepositsData!F:F)),4)),"")</f>
        <v/>
      </c>
    </row>
    <row r="16">
      <c r="B16" s="20">
        <f>IFERROR(INDEX(PaymentsData!B:B,SMALL(IF((PaymentsData!B:B&gt;=TODAY())*(PaymentsData!B:B&lt;=TODAY()+7),ROW(PaymentsData!B:B)),5)),"")</f>
        <v/>
      </c>
      <c r="C16" s="21">
        <f>IFERROR(INDEX(PaymentsData!C:C,SMALL(IF((PaymentsData!B:B&gt;=TODAY())*(PaymentsData!B:B&lt;=TODAY()+7),ROW(PaymentsData!B:B)),5)),"")</f>
        <v/>
      </c>
      <c r="D16" s="22">
        <f>IFERROR(INDEX(PaymentsData!D:D,SMALL(IF((PaymentsData!B:B&gt;=TODAY())*(PaymentsData!B:B&lt;=TODAY()+7),ROW(PaymentsData!B:B)),5)),"")</f>
        <v/>
      </c>
      <c r="E16" s="21">
        <f>IFERROR(INDEX(PaymentsData!E:E,SMALL(IF((PaymentsData!B:B&gt;=TODAY())*(PaymentsData!B:B&lt;=TODAY()+7),ROW(PaymentsData!B:B)),5)),"")</f>
        <v/>
      </c>
      <c r="F16" s="21">
        <f>IFERROR(INDEX(PaymentsData!F:F,SMALL(IF((PaymentsData!B:B&gt;=TODAY())*(PaymentsData!B:B&lt;=TODAY()+7),ROW(PaymentsData!B:B)),5)),"")</f>
        <v/>
      </c>
      <c r="G16" s="20">
        <f>IFERROR(INDEX(DepositsData!F:F,SMALL(IF((DepositsData!F:F&gt;=TODAY())*(DepositsData!F:F&lt;=TODAY()+30)*(DepositsData!G:G="Active"),ROW(DepositsData!F:F)),5)),"")</f>
        <v/>
      </c>
      <c r="H16" s="23">
        <f>IFERROR(INDEX(DepositsData!D:D,SMALL(IF((DepositsData!F:F&gt;=TODAY())*(DepositsData!F:F&lt;=TODAY()+30)*(DepositsData!G:G="Active"),ROW(DepositsData!F:F)),5)),"")</f>
        <v/>
      </c>
    </row>
    <row r="19">
      <c r="B19" s="17" t="inlineStr">
        <is>
          <t>Cash Flow Summary</t>
        </is>
      </c>
    </row>
    <row r="20">
      <c r="B20" s="24" t="inlineStr">
        <is>
          <t>Period</t>
        </is>
      </c>
      <c r="C20" s="24" t="inlineStr">
        <is>
          <t>Inflows</t>
        </is>
      </c>
      <c r="D20" s="24" t="inlineStr">
        <is>
          <t>Outflows</t>
        </is>
      </c>
      <c r="E20" s="24" t="inlineStr">
        <is>
          <t>Net Flow</t>
        </is>
      </c>
      <c r="F20" s="24" t="inlineStr">
        <is>
          <t>End Balance</t>
        </is>
      </c>
    </row>
    <row r="21">
      <c r="B21" s="21" t="inlineStr">
        <is>
          <t>Today</t>
        </is>
      </c>
      <c r="C21" s="25">
        <f>CashFlowPositions!D4</f>
        <v/>
      </c>
      <c r="D21" s="25">
        <f>CashFlowPositions!E4</f>
        <v/>
      </c>
      <c r="E21" s="25">
        <f>CashFlowPositions!F4</f>
        <v/>
      </c>
      <c r="F21" s="25">
        <f>CashFlowPositions!G4</f>
        <v/>
      </c>
    </row>
    <row r="22">
      <c r="B22" s="21" t="inlineStr">
        <is>
          <t>This Week</t>
        </is>
      </c>
      <c r="C22" s="25">
        <f>CashFlowPositions!D5</f>
        <v/>
      </c>
      <c r="D22" s="25">
        <f>CashFlowPositions!E5</f>
        <v/>
      </c>
      <c r="E22" s="25">
        <f>CashFlowPositions!F5</f>
        <v/>
      </c>
      <c r="F22" s="25">
        <f>CashFlowPositions!G5</f>
        <v/>
      </c>
    </row>
    <row r="23">
      <c r="B23" s="21" t="inlineStr">
        <is>
          <t>This Month</t>
        </is>
      </c>
      <c r="C23" s="25">
        <f>CashFlowPositions!D6</f>
        <v/>
      </c>
      <c r="D23" s="25">
        <f>CashFlowPositions!E6</f>
        <v/>
      </c>
      <c r="E23" s="25">
        <f>CashFlowPositions!F6</f>
        <v/>
      </c>
      <c r="F23" s="25">
        <f>CashFlowPositions!G6</f>
        <v/>
      </c>
    </row>
    <row r="24">
      <c r="B24" s="21" t="inlineStr">
        <is>
          <t>Next 30 Days</t>
        </is>
      </c>
      <c r="C24" s="25">
        <f>CashFlowPositions!D7</f>
        <v/>
      </c>
      <c r="D24" s="25">
        <f>CashFlowPositions!E7</f>
        <v/>
      </c>
      <c r="E24" s="25">
        <f>CashFlowPositions!F7</f>
        <v/>
      </c>
      <c r="F24" s="25">
        <f>CashFlowPositions!G7</f>
        <v/>
      </c>
    </row>
    <row r="27">
      <c r="B27" s="17" t="inlineStr">
        <is>
          <t>Quick Navigation</t>
        </is>
      </c>
    </row>
    <row r="28">
      <c r="B28" s="26" t="inlineStr">
        <is>
          <t>Payment Calendar</t>
        </is>
      </c>
      <c r="C28" s="26" t="inlineStr">
        <is>
          <t>Time Deposits</t>
        </is>
      </c>
      <c r="D28" s="26" t="inlineStr">
        <is>
          <t>Cash Flow Positions</t>
        </is>
      </c>
      <c r="E28" s="26" t="inlineStr">
        <is>
          <t>Settings</t>
        </is>
      </c>
    </row>
  </sheetData>
  <mergeCells count="10">
    <mergeCell ref="B5:C5"/>
    <mergeCell ref="G10:H10"/>
    <mergeCell ref="F5:G5"/>
    <mergeCell ref="D5:E5"/>
    <mergeCell ref="H6:H7"/>
    <mergeCell ref="D6:E7"/>
    <mergeCell ref="B2:H2"/>
    <mergeCell ref="B6:C7"/>
    <mergeCell ref="F6:G7"/>
    <mergeCell ref="B3:H3"/>
  </mergeCells>
  <conditionalFormatting sqref="E21:E24">
    <cfRule type="expression" priority="1" dxfId="0">
      <formula>E21&gt;=0</formula>
    </cfRule>
    <cfRule type="expression" priority="2" dxfId="1">
      <formula>E21&lt;0</formula>
    </cfRule>
  </conditionalFormatting>
  <hyperlinks>
    <hyperlink xmlns:r="http://schemas.openxmlformats.org/officeDocument/2006/relationships" ref="B28" r:id="rId1"/>
    <hyperlink xmlns:r="http://schemas.openxmlformats.org/officeDocument/2006/relationships" ref="C28" r:id="rId2"/>
    <hyperlink xmlns:r="http://schemas.openxmlformats.org/officeDocument/2006/relationships" ref="D28" r:id="rId3"/>
    <hyperlink xmlns:r="http://schemas.openxmlformats.org/officeDocument/2006/relationships" ref="E2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25" customWidth="1" min="10" max="10"/>
  </cols>
  <sheetData>
    <row r="1" ht="18" customHeight="1"/>
    <row r="2" ht="18" customHeight="1">
      <c r="B2" s="27" t="inlineStr">
        <is>
          <t>Payment Calendar</t>
        </is>
      </c>
    </row>
    <row r="3" ht="18" customHeight="1"/>
    <row r="4" ht="18" customHeight="1">
      <c r="B4" s="2" t="inlineStr">
        <is>
          <t>Selected Month:</t>
        </is>
      </c>
      <c r="C4" s="28" t="inlineStr">
        <is>
          <t>December 2025</t>
        </is>
      </c>
    </row>
    <row r="5" ht="18" customHeight="1"/>
    <row r="6" ht="18" customHeight="1">
      <c r="B6" s="29" t="inlineStr">
        <is>
          <t>Sunday</t>
        </is>
      </c>
      <c r="C6" s="29" t="inlineStr">
        <is>
          <t>Monday</t>
        </is>
      </c>
      <c r="D6" s="29" t="inlineStr">
        <is>
          <t>Tuesday</t>
        </is>
      </c>
      <c r="E6" s="29" t="inlineStr">
        <is>
          <t>Wednesday</t>
        </is>
      </c>
      <c r="F6" s="29" t="inlineStr">
        <is>
          <t>Thursday</t>
        </is>
      </c>
      <c r="G6" s="29" t="inlineStr">
        <is>
          <t>Friday</t>
        </is>
      </c>
      <c r="H6" s="29" t="inlineStr">
        <is>
          <t>Saturday</t>
        </is>
      </c>
    </row>
    <row r="7" ht="18" customHeight="1">
      <c r="B7" s="30" t="n"/>
      <c r="C7" s="31" t="n">
        <v>1</v>
      </c>
      <c r="D7" s="31" t="n">
        <v>2</v>
      </c>
      <c r="E7" s="31" t="n">
        <v>3</v>
      </c>
      <c r="F7" s="31" t="n">
        <v>4</v>
      </c>
      <c r="G7" s="31" t="n">
        <v>5</v>
      </c>
      <c r="H7" s="31" t="n">
        <v>6</v>
      </c>
      <c r="J7" s="17" t="inlineStr">
        <is>
          <t>Status Legend</t>
        </is>
      </c>
    </row>
    <row r="8" ht="18" customHeight="1">
      <c r="B8" s="32" t="n"/>
      <c r="C8" s="33">
        <f>IFERROR(INDEX(PaymentsData!C:C,SMALL(IF(DAY(PaymentsData!B:B)=1,IF(MONTH(PaymentsData!B:B)=MONTH(C4),ROW(PaymentsData!B:B))),1))&amp;" - $"&amp;TEXT(INDEX(PaymentsData!D:D,SMALL(IF(DAY(PaymentsData!B:B)=1,IF(MONTH(PaymentsData!B:B)=MONTH(C4),ROW(PaymentsData!B:B))),1)),"#,##0"),"")</f>
        <v/>
      </c>
      <c r="D8" s="33">
        <f>IFERROR(INDEX(PaymentsData!C:C,SMALL(IF(DAY(PaymentsData!B:B)=2,IF(MONTH(PaymentsData!B:B)=MONTH(C4),ROW(PaymentsData!B:B))),1))&amp;" - $"&amp;TEXT(INDEX(PaymentsData!D:D,SMALL(IF(DAY(PaymentsData!B:B)=2,IF(MONTH(PaymentsData!B:B)=MONTH(C4),ROW(PaymentsData!B:B))),1)),"#,##0"),"")</f>
        <v/>
      </c>
      <c r="E8" s="33">
        <f>IFERROR(INDEX(PaymentsData!C:C,SMALL(IF(DAY(PaymentsData!B:B)=3,IF(MONTH(PaymentsData!B:B)=MONTH(C4),ROW(PaymentsData!B:B))),1))&amp;" - $"&amp;TEXT(INDEX(PaymentsData!D:D,SMALL(IF(DAY(PaymentsData!B:B)=3,IF(MONTH(PaymentsData!B:B)=MONTH(C4),ROW(PaymentsData!B:B))),1)),"#,##0"),"")</f>
        <v/>
      </c>
      <c r="F8" s="33">
        <f>IFERROR(INDEX(PaymentsData!C:C,SMALL(IF(DAY(PaymentsData!B:B)=4,IF(MONTH(PaymentsData!B:B)=MONTH(C4),ROW(PaymentsData!B:B))),1))&amp;" - $"&amp;TEXT(INDEX(PaymentsData!D:D,SMALL(IF(DAY(PaymentsData!B:B)=4,IF(MONTH(PaymentsData!B:B)=MONTH(C4),ROW(PaymentsData!B:B))),1)),"#,##0"),"")</f>
        <v/>
      </c>
      <c r="G8" s="33">
        <f>IFERROR(INDEX(PaymentsData!C:C,SMALL(IF(DAY(PaymentsData!B:B)=5,IF(MONTH(PaymentsData!B:B)=MONTH(C4),ROW(PaymentsData!B:B))),1))&amp;" - $"&amp;TEXT(INDEX(PaymentsData!D:D,SMALL(IF(DAY(PaymentsData!B:B)=5,IF(MONTH(PaymentsData!B:B)=MONTH(C4),ROW(PaymentsData!B:B))),1)),"#,##0"),"")</f>
        <v/>
      </c>
      <c r="H8" s="33">
        <f>IFERROR(INDEX(PaymentsData!C:C,SMALL(IF(DAY(PaymentsData!B:B)=6,IF(MONTH(PaymentsData!B:B)=MONTH(C4),ROW(PaymentsData!B:B))),1))&amp;" - $"&amp;TEXT(INDEX(PaymentsData!D:D,SMALL(IF(DAY(PaymentsData!B:B)=6,IF(MONTH(PaymentsData!B:B)=MONTH(C4),ROW(PaymentsData!B:B))),1)),"#,##0"),"")</f>
        <v/>
      </c>
      <c r="J8" s="34" t="inlineStr">
        <is>
          <t>●</t>
        </is>
      </c>
      <c r="K8" s="35" t="inlineStr">
        <is>
          <t>Paid</t>
        </is>
      </c>
    </row>
    <row r="9" ht="18" customHeight="1">
      <c r="B9" s="32" t="n"/>
      <c r="C9" s="33">
        <f>IFERROR(INDEX(PaymentsData!C:C,SMALL(IF(DAY(PaymentsData!B:B)=1,IF(MONTH(PaymentsData!B:B)=MONTH(C4),ROW(PaymentsData!B:B))),2))&amp;" - $"&amp;TEXT(INDEX(PaymentsData!D:D,SMALL(IF(DAY(PaymentsData!B:B)=1,IF(MONTH(PaymentsData!B:B)=MONTH(C4),ROW(PaymentsData!B:B))),2)),"#,##0"),"")</f>
        <v/>
      </c>
      <c r="D9" s="33">
        <f>IFERROR(INDEX(PaymentsData!C:C,SMALL(IF(DAY(PaymentsData!B:B)=2,IF(MONTH(PaymentsData!B:B)=MONTH(C4),ROW(PaymentsData!B:B))),2))&amp;" - $"&amp;TEXT(INDEX(PaymentsData!D:D,SMALL(IF(DAY(PaymentsData!B:B)=2,IF(MONTH(PaymentsData!B:B)=MONTH(C4),ROW(PaymentsData!B:B))),2)),"#,##0"),"")</f>
        <v/>
      </c>
      <c r="E9" s="33">
        <f>IFERROR(INDEX(PaymentsData!C:C,SMALL(IF(DAY(PaymentsData!B:B)=3,IF(MONTH(PaymentsData!B:B)=MONTH(C4),ROW(PaymentsData!B:B))),2))&amp;" - $"&amp;TEXT(INDEX(PaymentsData!D:D,SMALL(IF(DAY(PaymentsData!B:B)=3,IF(MONTH(PaymentsData!B:B)=MONTH(C4),ROW(PaymentsData!B:B))),2)),"#,##0"),"")</f>
        <v/>
      </c>
      <c r="F9" s="33">
        <f>IFERROR(INDEX(PaymentsData!C:C,SMALL(IF(DAY(PaymentsData!B:B)=4,IF(MONTH(PaymentsData!B:B)=MONTH(C4),ROW(PaymentsData!B:B))),2))&amp;" - $"&amp;TEXT(INDEX(PaymentsData!D:D,SMALL(IF(DAY(PaymentsData!B:B)=4,IF(MONTH(PaymentsData!B:B)=MONTH(C4),ROW(PaymentsData!B:B))),2)),"#,##0"),"")</f>
        <v/>
      </c>
      <c r="G9" s="33">
        <f>IFERROR(INDEX(PaymentsData!C:C,SMALL(IF(DAY(PaymentsData!B:B)=5,IF(MONTH(PaymentsData!B:B)=MONTH(C4),ROW(PaymentsData!B:B))),2))&amp;" - $"&amp;TEXT(INDEX(PaymentsData!D:D,SMALL(IF(DAY(PaymentsData!B:B)=5,IF(MONTH(PaymentsData!B:B)=MONTH(C4),ROW(PaymentsData!B:B))),2)),"#,##0"),"")</f>
        <v/>
      </c>
      <c r="H9" s="33">
        <f>IFERROR(INDEX(PaymentsData!C:C,SMALL(IF(DAY(PaymentsData!B:B)=6,IF(MONTH(PaymentsData!B:B)=MONTH(C4),ROW(PaymentsData!B:B))),2))&amp;" - $"&amp;TEXT(INDEX(PaymentsData!D:D,SMALL(IF(DAY(PaymentsData!B:B)=6,IF(MONTH(PaymentsData!B:B)=MONTH(C4),ROW(PaymentsData!B:B))),2)),"#,##0"),"")</f>
        <v/>
      </c>
      <c r="J9" s="36" t="inlineStr">
        <is>
          <t>●</t>
        </is>
      </c>
      <c r="K9" s="35" t="inlineStr">
        <is>
          <t>Pending</t>
        </is>
      </c>
    </row>
    <row r="10" ht="18" customHeight="1">
      <c r="B10" s="32" t="n"/>
      <c r="C10" s="33">
        <f>IFERROR(INDEX(PaymentsData!C:C,SMALL(IF(DAY(PaymentsData!B:B)=1,IF(MONTH(PaymentsData!B:B)=MONTH(C4),ROW(PaymentsData!B:B))),3))&amp;" - $"&amp;TEXT(INDEX(PaymentsData!D:D,SMALL(IF(DAY(PaymentsData!B:B)=1,IF(MONTH(PaymentsData!B:B)=MONTH(C4),ROW(PaymentsData!B:B))),3)),"#,##0"),"")</f>
        <v/>
      </c>
      <c r="D10" s="33">
        <f>IFERROR(INDEX(PaymentsData!C:C,SMALL(IF(DAY(PaymentsData!B:B)=2,IF(MONTH(PaymentsData!B:B)=MONTH(C4),ROW(PaymentsData!B:B))),3))&amp;" - $"&amp;TEXT(INDEX(PaymentsData!D:D,SMALL(IF(DAY(PaymentsData!B:B)=2,IF(MONTH(PaymentsData!B:B)=MONTH(C4),ROW(PaymentsData!B:B))),3)),"#,##0"),"")</f>
        <v/>
      </c>
      <c r="E10" s="33">
        <f>IFERROR(INDEX(PaymentsData!C:C,SMALL(IF(DAY(PaymentsData!B:B)=3,IF(MONTH(PaymentsData!B:B)=MONTH(C4),ROW(PaymentsData!B:B))),3))&amp;" - $"&amp;TEXT(INDEX(PaymentsData!D:D,SMALL(IF(DAY(PaymentsData!B:B)=3,IF(MONTH(PaymentsData!B:B)=MONTH(C4),ROW(PaymentsData!B:B))),3)),"#,##0"),"")</f>
        <v/>
      </c>
      <c r="F10" s="33">
        <f>IFERROR(INDEX(PaymentsData!C:C,SMALL(IF(DAY(PaymentsData!B:B)=4,IF(MONTH(PaymentsData!B:B)=MONTH(C4),ROW(PaymentsData!B:B))),3))&amp;" - $"&amp;TEXT(INDEX(PaymentsData!D:D,SMALL(IF(DAY(PaymentsData!B:B)=4,IF(MONTH(PaymentsData!B:B)=MONTH(C4),ROW(PaymentsData!B:B))),3)),"#,##0"),"")</f>
        <v/>
      </c>
      <c r="G10" s="33">
        <f>IFERROR(INDEX(PaymentsData!C:C,SMALL(IF(DAY(PaymentsData!B:B)=5,IF(MONTH(PaymentsData!B:B)=MONTH(C4),ROW(PaymentsData!B:B))),3))&amp;" - $"&amp;TEXT(INDEX(PaymentsData!D:D,SMALL(IF(DAY(PaymentsData!B:B)=5,IF(MONTH(PaymentsData!B:B)=MONTH(C4),ROW(PaymentsData!B:B))),3)),"#,##0"),"")</f>
        <v/>
      </c>
      <c r="H10" s="33">
        <f>IFERROR(INDEX(PaymentsData!C:C,SMALL(IF(DAY(PaymentsData!B:B)=6,IF(MONTH(PaymentsData!B:B)=MONTH(C4),ROW(PaymentsData!B:B))),3))&amp;" - $"&amp;TEXT(INDEX(PaymentsData!D:D,SMALL(IF(DAY(PaymentsData!B:B)=6,IF(MONTH(PaymentsData!B:B)=MONTH(C4),ROW(PaymentsData!B:B))),3)),"#,##0"),"")</f>
        <v/>
      </c>
      <c r="J10" s="37" t="inlineStr">
        <is>
          <t>●</t>
        </is>
      </c>
      <c r="K10" s="35" t="inlineStr">
        <is>
          <t>Scheduled</t>
        </is>
      </c>
    </row>
    <row r="11" ht="18" customHeight="1">
      <c r="B11" s="38" t="n"/>
      <c r="C11" s="39" t="n"/>
      <c r="D11" s="39" t="n"/>
      <c r="E11" s="39" t="n"/>
      <c r="F11" s="39" t="n"/>
      <c r="G11" s="39" t="n"/>
      <c r="H11" s="39" t="n"/>
      <c r="J11" s="40" t="inlineStr">
        <is>
          <t>●</t>
        </is>
      </c>
      <c r="K11" s="35" t="inlineStr">
        <is>
          <t>Overdue</t>
        </is>
      </c>
    </row>
    <row r="12" ht="18" customHeight="1">
      <c r="B12" s="31" t="n">
        <v>7</v>
      </c>
      <c r="C12" s="31" t="n">
        <v>8</v>
      </c>
      <c r="D12" s="31" t="n">
        <v>9</v>
      </c>
      <c r="E12" s="31" t="n">
        <v>10</v>
      </c>
      <c r="F12" s="31" t="n">
        <v>11</v>
      </c>
      <c r="G12" s="41" t="n">
        <v>12</v>
      </c>
      <c r="H12" s="31" t="n">
        <v>13</v>
      </c>
      <c r="J12" s="42" t="inlineStr">
        <is>
          <t>●</t>
        </is>
      </c>
      <c r="K12" s="35" t="inlineStr">
        <is>
          <t>Cancelled</t>
        </is>
      </c>
    </row>
    <row r="13" ht="18" customHeight="1">
      <c r="B13" s="33">
        <f>IFERROR(INDEX(PaymentsData!C:C,SMALL(IF(DAY(PaymentsData!B:B)=7,IF(MONTH(PaymentsData!B:B)=MONTH(C4),ROW(PaymentsData!B:B))),1))&amp;" - $"&amp;TEXT(INDEX(PaymentsData!D:D,SMALL(IF(DAY(PaymentsData!B:B)=7,IF(MONTH(PaymentsData!B:B)=MONTH(C4),ROW(PaymentsData!B:B))),1)),"#,##0"),"")</f>
        <v/>
      </c>
      <c r="C13" s="33">
        <f>IFERROR(INDEX(PaymentsData!C:C,SMALL(IF(DAY(PaymentsData!B:B)=8,IF(MONTH(PaymentsData!B:B)=MONTH(C4),ROW(PaymentsData!B:B))),1))&amp;" - $"&amp;TEXT(INDEX(PaymentsData!D:D,SMALL(IF(DAY(PaymentsData!B:B)=8,IF(MONTH(PaymentsData!B:B)=MONTH(C4),ROW(PaymentsData!B:B))),1)),"#,##0"),"")</f>
        <v/>
      </c>
      <c r="D13" s="33">
        <f>IFERROR(INDEX(PaymentsData!C:C,SMALL(IF(DAY(PaymentsData!B:B)=9,IF(MONTH(PaymentsData!B:B)=MONTH(C4),ROW(PaymentsData!B:B))),1))&amp;" - $"&amp;TEXT(INDEX(PaymentsData!D:D,SMALL(IF(DAY(PaymentsData!B:B)=9,IF(MONTH(PaymentsData!B:B)=MONTH(C4),ROW(PaymentsData!B:B))),1)),"#,##0"),"")</f>
        <v/>
      </c>
      <c r="E13" s="33">
        <f>IFERROR(INDEX(PaymentsData!C:C,SMALL(IF(DAY(PaymentsData!B:B)=10,IF(MONTH(PaymentsData!B:B)=MONTH(C4),ROW(PaymentsData!B:B))),1))&amp;" - $"&amp;TEXT(INDEX(PaymentsData!D:D,SMALL(IF(DAY(PaymentsData!B:B)=10,IF(MONTH(PaymentsData!B:B)=MONTH(C4),ROW(PaymentsData!B:B))),1)),"#,##0"),"")</f>
        <v/>
      </c>
      <c r="F13" s="33">
        <f>IFERROR(INDEX(PaymentsData!C:C,SMALL(IF(DAY(PaymentsData!B:B)=11,IF(MONTH(PaymentsData!B:B)=MONTH(C4),ROW(PaymentsData!B:B))),1))&amp;" - $"&amp;TEXT(INDEX(PaymentsData!D:D,SMALL(IF(DAY(PaymentsData!B:B)=11,IF(MONTH(PaymentsData!B:B)=MONTH(C4),ROW(PaymentsData!B:B))),1)),"#,##0"),"")</f>
        <v/>
      </c>
      <c r="G13" s="33">
        <f>IFERROR(INDEX(PaymentsData!C:C,SMALL(IF(DAY(PaymentsData!B:B)=12,IF(MONTH(PaymentsData!B:B)=MONTH(C4),ROW(PaymentsData!B:B))),1))&amp;" - $"&amp;TEXT(INDEX(PaymentsData!D:D,SMALL(IF(DAY(PaymentsData!B:B)=12,IF(MONTH(PaymentsData!B:B)=MONTH(C4),ROW(PaymentsData!B:B))),1)),"#,##0"),"")</f>
        <v/>
      </c>
      <c r="H13" s="33">
        <f>IFERROR(INDEX(PaymentsData!C:C,SMALL(IF(DAY(PaymentsData!B:B)=13,IF(MONTH(PaymentsData!B:B)=MONTH(C4),ROW(PaymentsData!B:B))),1))&amp;" - $"&amp;TEXT(INDEX(PaymentsData!D:D,SMALL(IF(DAY(PaymentsData!B:B)=13,IF(MONTH(PaymentsData!B:B)=MONTH(C4),ROW(PaymentsData!B:B))),1)),"#,##0"),"")</f>
        <v/>
      </c>
    </row>
    <row r="14" ht="18" customHeight="1">
      <c r="B14" s="33">
        <f>IFERROR(INDEX(PaymentsData!C:C,SMALL(IF(DAY(PaymentsData!B:B)=7,IF(MONTH(PaymentsData!B:B)=MONTH(C4),ROW(PaymentsData!B:B))),2))&amp;" - $"&amp;TEXT(INDEX(PaymentsData!D:D,SMALL(IF(DAY(PaymentsData!B:B)=7,IF(MONTH(PaymentsData!B:B)=MONTH(C4),ROW(PaymentsData!B:B))),2)),"#,##0"),"")</f>
        <v/>
      </c>
      <c r="C14" s="33">
        <f>IFERROR(INDEX(PaymentsData!C:C,SMALL(IF(DAY(PaymentsData!B:B)=8,IF(MONTH(PaymentsData!B:B)=MONTH(C4),ROW(PaymentsData!B:B))),2))&amp;" - $"&amp;TEXT(INDEX(PaymentsData!D:D,SMALL(IF(DAY(PaymentsData!B:B)=8,IF(MONTH(PaymentsData!B:B)=MONTH(C4),ROW(PaymentsData!B:B))),2)),"#,##0"),"")</f>
        <v/>
      </c>
      <c r="D14" s="33">
        <f>IFERROR(INDEX(PaymentsData!C:C,SMALL(IF(DAY(PaymentsData!B:B)=9,IF(MONTH(PaymentsData!B:B)=MONTH(C4),ROW(PaymentsData!B:B))),2))&amp;" - $"&amp;TEXT(INDEX(PaymentsData!D:D,SMALL(IF(DAY(PaymentsData!B:B)=9,IF(MONTH(PaymentsData!B:B)=MONTH(C4),ROW(PaymentsData!B:B))),2)),"#,##0"),"")</f>
        <v/>
      </c>
      <c r="E14" s="33">
        <f>IFERROR(INDEX(PaymentsData!C:C,SMALL(IF(DAY(PaymentsData!B:B)=10,IF(MONTH(PaymentsData!B:B)=MONTH(C4),ROW(PaymentsData!B:B))),2))&amp;" - $"&amp;TEXT(INDEX(PaymentsData!D:D,SMALL(IF(DAY(PaymentsData!B:B)=10,IF(MONTH(PaymentsData!B:B)=MONTH(C4),ROW(PaymentsData!B:B))),2)),"#,##0"),"")</f>
        <v/>
      </c>
      <c r="F14" s="33">
        <f>IFERROR(INDEX(PaymentsData!C:C,SMALL(IF(DAY(PaymentsData!B:B)=11,IF(MONTH(PaymentsData!B:B)=MONTH(C4),ROW(PaymentsData!B:B))),2))&amp;" - $"&amp;TEXT(INDEX(PaymentsData!D:D,SMALL(IF(DAY(PaymentsData!B:B)=11,IF(MONTH(PaymentsData!B:B)=MONTH(C4),ROW(PaymentsData!B:B))),2)),"#,##0"),"")</f>
        <v/>
      </c>
      <c r="G14" s="33">
        <f>IFERROR(INDEX(PaymentsData!C:C,SMALL(IF(DAY(PaymentsData!B:B)=12,IF(MONTH(PaymentsData!B:B)=MONTH(C4),ROW(PaymentsData!B:B))),2))&amp;" - $"&amp;TEXT(INDEX(PaymentsData!D:D,SMALL(IF(DAY(PaymentsData!B:B)=12,IF(MONTH(PaymentsData!B:B)=MONTH(C4),ROW(PaymentsData!B:B))),2)),"#,##0"),"")</f>
        <v/>
      </c>
      <c r="H14" s="33">
        <f>IFERROR(INDEX(PaymentsData!C:C,SMALL(IF(DAY(PaymentsData!B:B)=13,IF(MONTH(PaymentsData!B:B)=MONTH(C4),ROW(PaymentsData!B:B))),2))&amp;" - $"&amp;TEXT(INDEX(PaymentsData!D:D,SMALL(IF(DAY(PaymentsData!B:B)=13,IF(MONTH(PaymentsData!B:B)=MONTH(C4),ROW(PaymentsData!B:B))),2)),"#,##0"),"")</f>
        <v/>
      </c>
    </row>
    <row r="15" ht="18" customHeight="1">
      <c r="B15" s="33">
        <f>IFERROR(INDEX(PaymentsData!C:C,SMALL(IF(DAY(PaymentsData!B:B)=7,IF(MONTH(PaymentsData!B:B)=MONTH(C4),ROW(PaymentsData!B:B))),3))&amp;" - $"&amp;TEXT(INDEX(PaymentsData!D:D,SMALL(IF(DAY(PaymentsData!B:B)=7,IF(MONTH(PaymentsData!B:B)=MONTH(C4),ROW(PaymentsData!B:B))),3)),"#,##0"),"")</f>
        <v/>
      </c>
      <c r="C15" s="33">
        <f>IFERROR(INDEX(PaymentsData!C:C,SMALL(IF(DAY(PaymentsData!B:B)=8,IF(MONTH(PaymentsData!B:B)=MONTH(C4),ROW(PaymentsData!B:B))),3))&amp;" - $"&amp;TEXT(INDEX(PaymentsData!D:D,SMALL(IF(DAY(PaymentsData!B:B)=8,IF(MONTH(PaymentsData!B:B)=MONTH(C4),ROW(PaymentsData!B:B))),3)),"#,##0"),"")</f>
        <v/>
      </c>
      <c r="D15" s="33">
        <f>IFERROR(INDEX(PaymentsData!C:C,SMALL(IF(DAY(PaymentsData!B:B)=9,IF(MONTH(PaymentsData!B:B)=MONTH(C4),ROW(PaymentsData!B:B))),3))&amp;" - $"&amp;TEXT(INDEX(PaymentsData!D:D,SMALL(IF(DAY(PaymentsData!B:B)=9,IF(MONTH(PaymentsData!B:B)=MONTH(C4),ROW(PaymentsData!B:B))),3)),"#,##0"),"")</f>
        <v/>
      </c>
      <c r="E15" s="33">
        <f>IFERROR(INDEX(PaymentsData!C:C,SMALL(IF(DAY(PaymentsData!B:B)=10,IF(MONTH(PaymentsData!B:B)=MONTH(C4),ROW(PaymentsData!B:B))),3))&amp;" - $"&amp;TEXT(INDEX(PaymentsData!D:D,SMALL(IF(DAY(PaymentsData!B:B)=10,IF(MONTH(PaymentsData!B:B)=MONTH(C4),ROW(PaymentsData!B:B))),3)),"#,##0"),"")</f>
        <v/>
      </c>
      <c r="F15" s="33">
        <f>IFERROR(INDEX(PaymentsData!C:C,SMALL(IF(DAY(PaymentsData!B:B)=11,IF(MONTH(PaymentsData!B:B)=MONTH(C4),ROW(PaymentsData!B:B))),3))&amp;" - $"&amp;TEXT(INDEX(PaymentsData!D:D,SMALL(IF(DAY(PaymentsData!B:B)=11,IF(MONTH(PaymentsData!B:B)=MONTH(C4),ROW(PaymentsData!B:B))),3)),"#,##0"),"")</f>
        <v/>
      </c>
      <c r="G15" s="33">
        <f>IFERROR(INDEX(PaymentsData!C:C,SMALL(IF(DAY(PaymentsData!B:B)=12,IF(MONTH(PaymentsData!B:B)=MONTH(C4),ROW(PaymentsData!B:B))),3))&amp;" - $"&amp;TEXT(INDEX(PaymentsData!D:D,SMALL(IF(DAY(PaymentsData!B:B)=12,IF(MONTH(PaymentsData!B:B)=MONTH(C4),ROW(PaymentsData!B:B))),3)),"#,##0"),"")</f>
        <v/>
      </c>
      <c r="H15" s="33">
        <f>IFERROR(INDEX(PaymentsData!C:C,SMALL(IF(DAY(PaymentsData!B:B)=13,IF(MONTH(PaymentsData!B:B)=MONTH(C4),ROW(PaymentsData!B:B))),3))&amp;" - $"&amp;TEXT(INDEX(PaymentsData!D:D,SMALL(IF(DAY(PaymentsData!B:B)=13,IF(MONTH(PaymentsData!B:B)=MONTH(C4),ROW(PaymentsData!B:B))),3)),"#,##0"),"")</f>
        <v/>
      </c>
      <c r="J15" s="17" t="inlineStr">
        <is>
          <t>Monthly Totals</t>
        </is>
      </c>
    </row>
    <row r="16" ht="18" customHeight="1">
      <c r="B16" s="39" t="n"/>
      <c r="C16" s="39" t="n"/>
      <c r="D16" s="39" t="n"/>
      <c r="E16" s="39" t="n"/>
      <c r="F16" s="39" t="n"/>
      <c r="G16" s="39" t="n"/>
      <c r="H16" s="39" t="n"/>
      <c r="J16" s="35" t="inlineStr">
        <is>
          <t>Scheduled:</t>
        </is>
      </c>
      <c r="K16" s="43">
        <f>SUMIF(PaymentsData!F:F,"Scheduled",PaymentsData!D:D)</f>
        <v/>
      </c>
    </row>
    <row r="17" ht="18" customHeight="1">
      <c r="B17" s="31" t="n">
        <v>14</v>
      </c>
      <c r="C17" s="31" t="n">
        <v>15</v>
      </c>
      <c r="D17" s="31" t="n">
        <v>16</v>
      </c>
      <c r="E17" s="31" t="n">
        <v>17</v>
      </c>
      <c r="F17" s="31" t="n">
        <v>18</v>
      </c>
      <c r="G17" s="31" t="n">
        <v>19</v>
      </c>
      <c r="H17" s="31" t="n">
        <v>20</v>
      </c>
      <c r="J17" s="35" t="inlineStr">
        <is>
          <t>Pending:</t>
        </is>
      </c>
      <c r="K17" s="43">
        <f>SUMIF(PaymentsData!F:F,"Pending",PaymentsData!D:D)</f>
        <v/>
      </c>
    </row>
    <row r="18" ht="18" customHeight="1">
      <c r="B18" s="33">
        <f>IFERROR(INDEX(PaymentsData!C:C,SMALL(IF(DAY(PaymentsData!B:B)=14,IF(MONTH(PaymentsData!B:B)=MONTH(C4),ROW(PaymentsData!B:B))),1))&amp;" - $"&amp;TEXT(INDEX(PaymentsData!D:D,SMALL(IF(DAY(PaymentsData!B:B)=14,IF(MONTH(PaymentsData!B:B)=MONTH(C4),ROW(PaymentsData!B:B))),1)),"#,##0"),"")</f>
        <v/>
      </c>
      <c r="C18" s="33">
        <f>IFERROR(INDEX(PaymentsData!C:C,SMALL(IF(DAY(PaymentsData!B:B)=15,IF(MONTH(PaymentsData!B:B)=MONTH(C4),ROW(PaymentsData!B:B))),1))&amp;" - $"&amp;TEXT(INDEX(PaymentsData!D:D,SMALL(IF(DAY(PaymentsData!B:B)=15,IF(MONTH(PaymentsData!B:B)=MONTH(C4),ROW(PaymentsData!B:B))),1)),"#,##0"),"")</f>
        <v/>
      </c>
      <c r="D18" s="33">
        <f>IFERROR(INDEX(PaymentsData!C:C,SMALL(IF(DAY(PaymentsData!B:B)=16,IF(MONTH(PaymentsData!B:B)=MONTH(C4),ROW(PaymentsData!B:B))),1))&amp;" - $"&amp;TEXT(INDEX(PaymentsData!D:D,SMALL(IF(DAY(PaymentsData!B:B)=16,IF(MONTH(PaymentsData!B:B)=MONTH(C4),ROW(PaymentsData!B:B))),1)),"#,##0"),"")</f>
        <v/>
      </c>
      <c r="E18" s="33">
        <f>IFERROR(INDEX(PaymentsData!C:C,SMALL(IF(DAY(PaymentsData!B:B)=17,IF(MONTH(PaymentsData!B:B)=MONTH(C4),ROW(PaymentsData!B:B))),1))&amp;" - $"&amp;TEXT(INDEX(PaymentsData!D:D,SMALL(IF(DAY(PaymentsData!B:B)=17,IF(MONTH(PaymentsData!B:B)=MONTH(C4),ROW(PaymentsData!B:B))),1)),"#,##0"),"")</f>
        <v/>
      </c>
      <c r="F18" s="33">
        <f>IFERROR(INDEX(PaymentsData!C:C,SMALL(IF(DAY(PaymentsData!B:B)=18,IF(MONTH(PaymentsData!B:B)=MONTH(C4),ROW(PaymentsData!B:B))),1))&amp;" - $"&amp;TEXT(INDEX(PaymentsData!D:D,SMALL(IF(DAY(PaymentsData!B:B)=18,IF(MONTH(PaymentsData!B:B)=MONTH(C4),ROW(PaymentsData!B:B))),1)),"#,##0"),"")</f>
        <v/>
      </c>
      <c r="G18" s="33">
        <f>IFERROR(INDEX(PaymentsData!C:C,SMALL(IF(DAY(PaymentsData!B:B)=19,IF(MONTH(PaymentsData!B:B)=MONTH(C4),ROW(PaymentsData!B:B))),1))&amp;" - $"&amp;TEXT(INDEX(PaymentsData!D:D,SMALL(IF(DAY(PaymentsData!B:B)=19,IF(MONTH(PaymentsData!B:B)=MONTH(C4),ROW(PaymentsData!B:B))),1)),"#,##0"),"")</f>
        <v/>
      </c>
      <c r="H18" s="33">
        <f>IFERROR(INDEX(PaymentsData!C:C,SMALL(IF(DAY(PaymentsData!B:B)=20,IF(MONTH(PaymentsData!B:B)=MONTH(C4),ROW(PaymentsData!B:B))),1))&amp;" - $"&amp;TEXT(INDEX(PaymentsData!D:D,SMALL(IF(DAY(PaymentsData!B:B)=20,IF(MONTH(PaymentsData!B:B)=MONTH(C4),ROW(PaymentsData!B:B))),1)),"#,##0"),"")</f>
        <v/>
      </c>
      <c r="J18" s="35" t="inlineStr">
        <is>
          <t>Paid:</t>
        </is>
      </c>
      <c r="K18" s="43">
        <f>SUMIF(PaymentsData!F:F,"Paid",PaymentsData!D:D)</f>
        <v/>
      </c>
    </row>
    <row r="19" ht="18" customHeight="1">
      <c r="B19" s="33">
        <f>IFERROR(INDEX(PaymentsData!C:C,SMALL(IF(DAY(PaymentsData!B:B)=14,IF(MONTH(PaymentsData!B:B)=MONTH(C4),ROW(PaymentsData!B:B))),2))&amp;" - $"&amp;TEXT(INDEX(PaymentsData!D:D,SMALL(IF(DAY(PaymentsData!B:B)=14,IF(MONTH(PaymentsData!B:B)=MONTH(C4),ROW(PaymentsData!B:B))),2)),"#,##0"),"")</f>
        <v/>
      </c>
      <c r="C19" s="33">
        <f>IFERROR(INDEX(PaymentsData!C:C,SMALL(IF(DAY(PaymentsData!B:B)=15,IF(MONTH(PaymentsData!B:B)=MONTH(C4),ROW(PaymentsData!B:B))),2))&amp;" - $"&amp;TEXT(INDEX(PaymentsData!D:D,SMALL(IF(DAY(PaymentsData!B:B)=15,IF(MONTH(PaymentsData!B:B)=MONTH(C4),ROW(PaymentsData!B:B))),2)),"#,##0"),"")</f>
        <v/>
      </c>
      <c r="D19" s="33">
        <f>IFERROR(INDEX(PaymentsData!C:C,SMALL(IF(DAY(PaymentsData!B:B)=16,IF(MONTH(PaymentsData!B:B)=MONTH(C4),ROW(PaymentsData!B:B))),2))&amp;" - $"&amp;TEXT(INDEX(PaymentsData!D:D,SMALL(IF(DAY(PaymentsData!B:B)=16,IF(MONTH(PaymentsData!B:B)=MONTH(C4),ROW(PaymentsData!B:B))),2)),"#,##0"),"")</f>
        <v/>
      </c>
      <c r="E19" s="33">
        <f>IFERROR(INDEX(PaymentsData!C:C,SMALL(IF(DAY(PaymentsData!B:B)=17,IF(MONTH(PaymentsData!B:B)=MONTH(C4),ROW(PaymentsData!B:B))),2))&amp;" - $"&amp;TEXT(INDEX(PaymentsData!D:D,SMALL(IF(DAY(PaymentsData!B:B)=17,IF(MONTH(PaymentsData!B:B)=MONTH(C4),ROW(PaymentsData!B:B))),2)),"#,##0"),"")</f>
        <v/>
      </c>
      <c r="F19" s="33">
        <f>IFERROR(INDEX(PaymentsData!C:C,SMALL(IF(DAY(PaymentsData!B:B)=18,IF(MONTH(PaymentsData!B:B)=MONTH(C4),ROW(PaymentsData!B:B))),2))&amp;" - $"&amp;TEXT(INDEX(PaymentsData!D:D,SMALL(IF(DAY(PaymentsData!B:B)=18,IF(MONTH(PaymentsData!B:B)=MONTH(C4),ROW(PaymentsData!B:B))),2)),"#,##0"),"")</f>
        <v/>
      </c>
      <c r="G19" s="33">
        <f>IFERROR(INDEX(PaymentsData!C:C,SMALL(IF(DAY(PaymentsData!B:B)=19,IF(MONTH(PaymentsData!B:B)=MONTH(C4),ROW(PaymentsData!B:B))),2))&amp;" - $"&amp;TEXT(INDEX(PaymentsData!D:D,SMALL(IF(DAY(PaymentsData!B:B)=19,IF(MONTH(PaymentsData!B:B)=MONTH(C4),ROW(PaymentsData!B:B))),2)),"#,##0"),"")</f>
        <v/>
      </c>
      <c r="H19" s="33">
        <f>IFERROR(INDEX(PaymentsData!C:C,SMALL(IF(DAY(PaymentsData!B:B)=20,IF(MONTH(PaymentsData!B:B)=MONTH(C4),ROW(PaymentsData!B:B))),2))&amp;" - $"&amp;TEXT(INDEX(PaymentsData!D:D,SMALL(IF(DAY(PaymentsData!B:B)=20,IF(MONTH(PaymentsData!B:B)=MONTH(C4),ROW(PaymentsData!B:B))),2)),"#,##0"),"")</f>
        <v/>
      </c>
      <c r="J19" s="35" t="inlineStr">
        <is>
          <t>Overdue:</t>
        </is>
      </c>
      <c r="K19" s="44">
        <f>SUMIF(PaymentsData!F:F,"Overdue",PaymentsData!D:D)</f>
        <v/>
      </c>
    </row>
    <row r="20" ht="18" customHeight="1">
      <c r="B20" s="33">
        <f>IFERROR(INDEX(PaymentsData!C:C,SMALL(IF(DAY(PaymentsData!B:B)=14,IF(MONTH(PaymentsData!B:B)=MONTH(C4),ROW(PaymentsData!B:B))),3))&amp;" - $"&amp;TEXT(INDEX(PaymentsData!D:D,SMALL(IF(DAY(PaymentsData!B:B)=14,IF(MONTH(PaymentsData!B:B)=MONTH(C4),ROW(PaymentsData!B:B))),3)),"#,##0"),"")</f>
        <v/>
      </c>
      <c r="C20" s="33">
        <f>IFERROR(INDEX(PaymentsData!C:C,SMALL(IF(DAY(PaymentsData!B:B)=15,IF(MONTH(PaymentsData!B:B)=MONTH(C4),ROW(PaymentsData!B:B))),3))&amp;" - $"&amp;TEXT(INDEX(PaymentsData!D:D,SMALL(IF(DAY(PaymentsData!B:B)=15,IF(MONTH(PaymentsData!B:B)=MONTH(C4),ROW(PaymentsData!B:B))),3)),"#,##0"),"")</f>
        <v/>
      </c>
      <c r="D20" s="33">
        <f>IFERROR(INDEX(PaymentsData!C:C,SMALL(IF(DAY(PaymentsData!B:B)=16,IF(MONTH(PaymentsData!B:B)=MONTH(C4),ROW(PaymentsData!B:B))),3))&amp;" - $"&amp;TEXT(INDEX(PaymentsData!D:D,SMALL(IF(DAY(PaymentsData!B:B)=16,IF(MONTH(PaymentsData!B:B)=MONTH(C4),ROW(PaymentsData!B:B))),3)),"#,##0"),"")</f>
        <v/>
      </c>
      <c r="E20" s="33">
        <f>IFERROR(INDEX(PaymentsData!C:C,SMALL(IF(DAY(PaymentsData!B:B)=17,IF(MONTH(PaymentsData!B:B)=MONTH(C4),ROW(PaymentsData!B:B))),3))&amp;" - $"&amp;TEXT(INDEX(PaymentsData!D:D,SMALL(IF(DAY(PaymentsData!B:B)=17,IF(MONTH(PaymentsData!B:B)=MONTH(C4),ROW(PaymentsData!B:B))),3)),"#,##0"),"")</f>
        <v/>
      </c>
      <c r="F20" s="33">
        <f>IFERROR(INDEX(PaymentsData!C:C,SMALL(IF(DAY(PaymentsData!B:B)=18,IF(MONTH(PaymentsData!B:B)=MONTH(C4),ROW(PaymentsData!B:B))),3))&amp;" - $"&amp;TEXT(INDEX(PaymentsData!D:D,SMALL(IF(DAY(PaymentsData!B:B)=18,IF(MONTH(PaymentsData!B:B)=MONTH(C4),ROW(PaymentsData!B:B))),3)),"#,##0"),"")</f>
        <v/>
      </c>
      <c r="G20" s="33">
        <f>IFERROR(INDEX(PaymentsData!C:C,SMALL(IF(DAY(PaymentsData!B:B)=19,IF(MONTH(PaymentsData!B:B)=MONTH(C4),ROW(PaymentsData!B:B))),3))&amp;" - $"&amp;TEXT(INDEX(PaymentsData!D:D,SMALL(IF(DAY(PaymentsData!B:B)=19,IF(MONTH(PaymentsData!B:B)=MONTH(C4),ROW(PaymentsData!B:B))),3)),"#,##0"),"")</f>
        <v/>
      </c>
      <c r="H20" s="33">
        <f>IFERROR(INDEX(PaymentsData!C:C,SMALL(IF(DAY(PaymentsData!B:B)=20,IF(MONTH(PaymentsData!B:B)=MONTH(C4),ROW(PaymentsData!B:B))),3))&amp;" - $"&amp;TEXT(INDEX(PaymentsData!D:D,SMALL(IF(DAY(PaymentsData!B:B)=20,IF(MONTH(PaymentsData!B:B)=MONTH(C4),ROW(PaymentsData!B:B))),3)),"#,##0"),"")</f>
        <v/>
      </c>
    </row>
    <row r="21" ht="18" customHeight="1">
      <c r="B21" s="39" t="n"/>
      <c r="C21" s="39" t="n"/>
      <c r="D21" s="39" t="n"/>
      <c r="E21" s="39" t="n"/>
      <c r="F21" s="39" t="n"/>
      <c r="G21" s="39" t="n"/>
      <c r="H21" s="39" t="n"/>
    </row>
    <row r="22" ht="18" customHeight="1">
      <c r="B22" s="31" t="n">
        <v>21</v>
      </c>
      <c r="C22" s="31" t="n">
        <v>22</v>
      </c>
      <c r="D22" s="31" t="n">
        <v>23</v>
      </c>
      <c r="E22" s="31" t="n">
        <v>24</v>
      </c>
      <c r="F22" s="31" t="n">
        <v>25</v>
      </c>
      <c r="G22" s="31" t="n">
        <v>26</v>
      </c>
      <c r="H22" s="31" t="n">
        <v>27</v>
      </c>
    </row>
    <row r="23" ht="18" customHeight="1">
      <c r="B23" s="33">
        <f>IFERROR(INDEX(PaymentsData!C:C,SMALL(IF(DAY(PaymentsData!B:B)=21,IF(MONTH(PaymentsData!B:B)=MONTH(C4),ROW(PaymentsData!B:B))),1))&amp;" - $"&amp;TEXT(INDEX(PaymentsData!D:D,SMALL(IF(DAY(PaymentsData!B:B)=21,IF(MONTH(PaymentsData!B:B)=MONTH(C4),ROW(PaymentsData!B:B))),1)),"#,##0"),"")</f>
        <v/>
      </c>
      <c r="C23" s="33">
        <f>IFERROR(INDEX(PaymentsData!C:C,SMALL(IF(DAY(PaymentsData!B:B)=22,IF(MONTH(PaymentsData!B:B)=MONTH(C4),ROW(PaymentsData!B:B))),1))&amp;" - $"&amp;TEXT(INDEX(PaymentsData!D:D,SMALL(IF(DAY(PaymentsData!B:B)=22,IF(MONTH(PaymentsData!B:B)=MONTH(C4),ROW(PaymentsData!B:B))),1)),"#,##0"),"")</f>
        <v/>
      </c>
      <c r="D23" s="33">
        <f>IFERROR(INDEX(PaymentsData!C:C,SMALL(IF(DAY(PaymentsData!B:B)=23,IF(MONTH(PaymentsData!B:B)=MONTH(C4),ROW(PaymentsData!B:B))),1))&amp;" - $"&amp;TEXT(INDEX(PaymentsData!D:D,SMALL(IF(DAY(PaymentsData!B:B)=23,IF(MONTH(PaymentsData!B:B)=MONTH(C4),ROW(PaymentsData!B:B))),1)),"#,##0"),"")</f>
        <v/>
      </c>
      <c r="E23" s="33">
        <f>IFERROR(INDEX(PaymentsData!C:C,SMALL(IF(DAY(PaymentsData!B:B)=24,IF(MONTH(PaymentsData!B:B)=MONTH(C4),ROW(PaymentsData!B:B))),1))&amp;" - $"&amp;TEXT(INDEX(PaymentsData!D:D,SMALL(IF(DAY(PaymentsData!B:B)=24,IF(MONTH(PaymentsData!B:B)=MONTH(C4),ROW(PaymentsData!B:B))),1)),"#,##0"),"")</f>
        <v/>
      </c>
      <c r="F23" s="33">
        <f>IFERROR(INDEX(PaymentsData!C:C,SMALL(IF(DAY(PaymentsData!B:B)=25,IF(MONTH(PaymentsData!B:B)=MONTH(C4),ROW(PaymentsData!B:B))),1))&amp;" - $"&amp;TEXT(INDEX(PaymentsData!D:D,SMALL(IF(DAY(PaymentsData!B:B)=25,IF(MONTH(PaymentsData!B:B)=MONTH(C4),ROW(PaymentsData!B:B))),1)),"#,##0"),"")</f>
        <v/>
      </c>
      <c r="G23" s="33">
        <f>IFERROR(INDEX(PaymentsData!C:C,SMALL(IF(DAY(PaymentsData!B:B)=26,IF(MONTH(PaymentsData!B:B)=MONTH(C4),ROW(PaymentsData!B:B))),1))&amp;" - $"&amp;TEXT(INDEX(PaymentsData!D:D,SMALL(IF(DAY(PaymentsData!B:B)=26,IF(MONTH(PaymentsData!B:B)=MONTH(C4),ROW(PaymentsData!B:B))),1)),"#,##0"),"")</f>
        <v/>
      </c>
      <c r="H23" s="33">
        <f>IFERROR(INDEX(PaymentsData!C:C,SMALL(IF(DAY(PaymentsData!B:B)=27,IF(MONTH(PaymentsData!B:B)=MONTH(C4),ROW(PaymentsData!B:B))),1))&amp;" - $"&amp;TEXT(INDEX(PaymentsData!D:D,SMALL(IF(DAY(PaymentsData!B:B)=27,IF(MONTH(PaymentsData!B:B)=MONTH(C4),ROW(PaymentsData!B:B))),1)),"#,##0"),"")</f>
        <v/>
      </c>
    </row>
    <row r="24" ht="18" customHeight="1">
      <c r="B24" s="33">
        <f>IFERROR(INDEX(PaymentsData!C:C,SMALL(IF(DAY(PaymentsData!B:B)=21,IF(MONTH(PaymentsData!B:B)=MONTH(C4),ROW(PaymentsData!B:B))),2))&amp;" - $"&amp;TEXT(INDEX(PaymentsData!D:D,SMALL(IF(DAY(PaymentsData!B:B)=21,IF(MONTH(PaymentsData!B:B)=MONTH(C4),ROW(PaymentsData!B:B))),2)),"#,##0"),"")</f>
        <v/>
      </c>
      <c r="C24" s="33">
        <f>IFERROR(INDEX(PaymentsData!C:C,SMALL(IF(DAY(PaymentsData!B:B)=22,IF(MONTH(PaymentsData!B:B)=MONTH(C4),ROW(PaymentsData!B:B))),2))&amp;" - $"&amp;TEXT(INDEX(PaymentsData!D:D,SMALL(IF(DAY(PaymentsData!B:B)=22,IF(MONTH(PaymentsData!B:B)=MONTH(C4),ROW(PaymentsData!B:B))),2)),"#,##0"),"")</f>
        <v/>
      </c>
      <c r="D24" s="33">
        <f>IFERROR(INDEX(PaymentsData!C:C,SMALL(IF(DAY(PaymentsData!B:B)=23,IF(MONTH(PaymentsData!B:B)=MONTH(C4),ROW(PaymentsData!B:B))),2))&amp;" - $"&amp;TEXT(INDEX(PaymentsData!D:D,SMALL(IF(DAY(PaymentsData!B:B)=23,IF(MONTH(PaymentsData!B:B)=MONTH(C4),ROW(PaymentsData!B:B))),2)),"#,##0"),"")</f>
        <v/>
      </c>
      <c r="E24" s="33">
        <f>IFERROR(INDEX(PaymentsData!C:C,SMALL(IF(DAY(PaymentsData!B:B)=24,IF(MONTH(PaymentsData!B:B)=MONTH(C4),ROW(PaymentsData!B:B))),2))&amp;" - $"&amp;TEXT(INDEX(PaymentsData!D:D,SMALL(IF(DAY(PaymentsData!B:B)=24,IF(MONTH(PaymentsData!B:B)=MONTH(C4),ROW(PaymentsData!B:B))),2)),"#,##0"),"")</f>
        <v/>
      </c>
      <c r="F24" s="33">
        <f>IFERROR(INDEX(PaymentsData!C:C,SMALL(IF(DAY(PaymentsData!B:B)=25,IF(MONTH(PaymentsData!B:B)=MONTH(C4),ROW(PaymentsData!B:B))),2))&amp;" - $"&amp;TEXT(INDEX(PaymentsData!D:D,SMALL(IF(DAY(PaymentsData!B:B)=25,IF(MONTH(PaymentsData!B:B)=MONTH(C4),ROW(PaymentsData!B:B))),2)),"#,##0"),"")</f>
        <v/>
      </c>
      <c r="G24" s="33">
        <f>IFERROR(INDEX(PaymentsData!C:C,SMALL(IF(DAY(PaymentsData!B:B)=26,IF(MONTH(PaymentsData!B:B)=MONTH(C4),ROW(PaymentsData!B:B))),2))&amp;" - $"&amp;TEXT(INDEX(PaymentsData!D:D,SMALL(IF(DAY(PaymentsData!B:B)=26,IF(MONTH(PaymentsData!B:B)=MONTH(C4),ROW(PaymentsData!B:B))),2)),"#,##0"),"")</f>
        <v/>
      </c>
      <c r="H24" s="33">
        <f>IFERROR(INDEX(PaymentsData!C:C,SMALL(IF(DAY(PaymentsData!B:B)=27,IF(MONTH(PaymentsData!B:B)=MONTH(C4),ROW(PaymentsData!B:B))),2))&amp;" - $"&amp;TEXT(INDEX(PaymentsData!D:D,SMALL(IF(DAY(PaymentsData!B:B)=27,IF(MONTH(PaymentsData!B:B)=MONTH(C4),ROW(PaymentsData!B:B))),2)),"#,##0"),"")</f>
        <v/>
      </c>
    </row>
    <row r="25" ht="18" customHeight="1">
      <c r="B25" s="33">
        <f>IFERROR(INDEX(PaymentsData!C:C,SMALL(IF(DAY(PaymentsData!B:B)=21,IF(MONTH(PaymentsData!B:B)=MONTH(C4),ROW(PaymentsData!B:B))),3))&amp;" - $"&amp;TEXT(INDEX(PaymentsData!D:D,SMALL(IF(DAY(PaymentsData!B:B)=21,IF(MONTH(PaymentsData!B:B)=MONTH(C4),ROW(PaymentsData!B:B))),3)),"#,##0"),"")</f>
        <v/>
      </c>
      <c r="C25" s="33">
        <f>IFERROR(INDEX(PaymentsData!C:C,SMALL(IF(DAY(PaymentsData!B:B)=22,IF(MONTH(PaymentsData!B:B)=MONTH(C4),ROW(PaymentsData!B:B))),3))&amp;" - $"&amp;TEXT(INDEX(PaymentsData!D:D,SMALL(IF(DAY(PaymentsData!B:B)=22,IF(MONTH(PaymentsData!B:B)=MONTH(C4),ROW(PaymentsData!B:B))),3)),"#,##0"),"")</f>
        <v/>
      </c>
      <c r="D25" s="33">
        <f>IFERROR(INDEX(PaymentsData!C:C,SMALL(IF(DAY(PaymentsData!B:B)=23,IF(MONTH(PaymentsData!B:B)=MONTH(C4),ROW(PaymentsData!B:B))),3))&amp;" - $"&amp;TEXT(INDEX(PaymentsData!D:D,SMALL(IF(DAY(PaymentsData!B:B)=23,IF(MONTH(PaymentsData!B:B)=MONTH(C4),ROW(PaymentsData!B:B))),3)),"#,##0"),"")</f>
        <v/>
      </c>
      <c r="E25" s="33">
        <f>IFERROR(INDEX(PaymentsData!C:C,SMALL(IF(DAY(PaymentsData!B:B)=24,IF(MONTH(PaymentsData!B:B)=MONTH(C4),ROW(PaymentsData!B:B))),3))&amp;" - $"&amp;TEXT(INDEX(PaymentsData!D:D,SMALL(IF(DAY(PaymentsData!B:B)=24,IF(MONTH(PaymentsData!B:B)=MONTH(C4),ROW(PaymentsData!B:B))),3)),"#,##0"),"")</f>
        <v/>
      </c>
      <c r="F25" s="33">
        <f>IFERROR(INDEX(PaymentsData!C:C,SMALL(IF(DAY(PaymentsData!B:B)=25,IF(MONTH(PaymentsData!B:B)=MONTH(C4),ROW(PaymentsData!B:B))),3))&amp;" - $"&amp;TEXT(INDEX(PaymentsData!D:D,SMALL(IF(DAY(PaymentsData!B:B)=25,IF(MONTH(PaymentsData!B:B)=MONTH(C4),ROW(PaymentsData!B:B))),3)),"#,##0"),"")</f>
        <v/>
      </c>
      <c r="G25" s="33">
        <f>IFERROR(INDEX(PaymentsData!C:C,SMALL(IF(DAY(PaymentsData!B:B)=26,IF(MONTH(PaymentsData!B:B)=MONTH(C4),ROW(PaymentsData!B:B))),3))&amp;" - $"&amp;TEXT(INDEX(PaymentsData!D:D,SMALL(IF(DAY(PaymentsData!B:B)=26,IF(MONTH(PaymentsData!B:B)=MONTH(C4),ROW(PaymentsData!B:B))),3)),"#,##0"),"")</f>
        <v/>
      </c>
      <c r="H25" s="33">
        <f>IFERROR(INDEX(PaymentsData!C:C,SMALL(IF(DAY(PaymentsData!B:B)=27,IF(MONTH(PaymentsData!B:B)=MONTH(C4),ROW(PaymentsData!B:B))),3))&amp;" - $"&amp;TEXT(INDEX(PaymentsData!D:D,SMALL(IF(DAY(PaymentsData!B:B)=27,IF(MONTH(PaymentsData!B:B)=MONTH(C4),ROW(PaymentsData!B:B))),3)),"#,##0"),"")</f>
        <v/>
      </c>
    </row>
    <row r="26" ht="18" customHeight="1">
      <c r="B26" s="39" t="n"/>
      <c r="C26" s="39" t="n"/>
      <c r="D26" s="39" t="n"/>
      <c r="E26" s="39" t="n"/>
      <c r="F26" s="39" t="n"/>
      <c r="G26" s="39" t="n"/>
      <c r="H26" s="39" t="n"/>
    </row>
    <row r="27" ht="18" customHeight="1">
      <c r="B27" s="31" t="n">
        <v>28</v>
      </c>
      <c r="C27" s="31" t="n">
        <v>29</v>
      </c>
      <c r="D27" s="31" t="n">
        <v>30</v>
      </c>
      <c r="E27" s="31" t="n">
        <v>31</v>
      </c>
      <c r="F27" s="30" t="n"/>
      <c r="G27" s="30" t="n"/>
      <c r="H27" s="30" t="n"/>
    </row>
    <row r="28" ht="18" customHeight="1">
      <c r="B28" s="33">
        <f>IFERROR(INDEX(PaymentsData!C:C,SMALL(IF(DAY(PaymentsData!B:B)=28,IF(MONTH(PaymentsData!B:B)=MONTH(C4),ROW(PaymentsData!B:B))),1))&amp;" - $"&amp;TEXT(INDEX(PaymentsData!D:D,SMALL(IF(DAY(PaymentsData!B:B)=28,IF(MONTH(PaymentsData!B:B)=MONTH(C4),ROW(PaymentsData!B:B))),1)),"#,##0"),"")</f>
        <v/>
      </c>
      <c r="C28" s="33">
        <f>IFERROR(INDEX(PaymentsData!C:C,SMALL(IF(DAY(PaymentsData!B:B)=29,IF(MONTH(PaymentsData!B:B)=MONTH(C4),ROW(PaymentsData!B:B))),1))&amp;" - $"&amp;TEXT(INDEX(PaymentsData!D:D,SMALL(IF(DAY(PaymentsData!B:B)=29,IF(MONTH(PaymentsData!B:B)=MONTH(C4),ROW(PaymentsData!B:B))),1)),"#,##0"),"")</f>
        <v/>
      </c>
      <c r="D28" s="33">
        <f>IFERROR(INDEX(PaymentsData!C:C,SMALL(IF(DAY(PaymentsData!B:B)=30,IF(MONTH(PaymentsData!B:B)=MONTH(C4),ROW(PaymentsData!B:B))),1))&amp;" - $"&amp;TEXT(INDEX(PaymentsData!D:D,SMALL(IF(DAY(PaymentsData!B:B)=30,IF(MONTH(PaymentsData!B:B)=MONTH(C4),ROW(PaymentsData!B:B))),1)),"#,##0"),"")</f>
        <v/>
      </c>
      <c r="E28" s="33">
        <f>IFERROR(INDEX(PaymentsData!C:C,SMALL(IF(DAY(PaymentsData!B:B)=31,IF(MONTH(PaymentsData!B:B)=MONTH(C4),ROW(PaymentsData!B:B))),1))&amp;" - $"&amp;TEXT(INDEX(PaymentsData!D:D,SMALL(IF(DAY(PaymentsData!B:B)=31,IF(MONTH(PaymentsData!B:B)=MONTH(C4),ROW(PaymentsData!B:B))),1)),"#,##0"),"")</f>
        <v/>
      </c>
      <c r="F28" s="32" t="n"/>
      <c r="G28" s="32" t="n"/>
      <c r="H28" s="32" t="n"/>
    </row>
    <row r="29" ht="18" customHeight="1">
      <c r="B29" s="33">
        <f>IFERROR(INDEX(PaymentsData!C:C,SMALL(IF(DAY(PaymentsData!B:B)=28,IF(MONTH(PaymentsData!B:B)=MONTH(C4),ROW(PaymentsData!B:B))),2))&amp;" - $"&amp;TEXT(INDEX(PaymentsData!D:D,SMALL(IF(DAY(PaymentsData!B:B)=28,IF(MONTH(PaymentsData!B:B)=MONTH(C4),ROW(PaymentsData!B:B))),2)),"#,##0"),"")</f>
        <v/>
      </c>
      <c r="C29" s="33">
        <f>IFERROR(INDEX(PaymentsData!C:C,SMALL(IF(DAY(PaymentsData!B:B)=29,IF(MONTH(PaymentsData!B:B)=MONTH(C4),ROW(PaymentsData!B:B))),2))&amp;" - $"&amp;TEXT(INDEX(PaymentsData!D:D,SMALL(IF(DAY(PaymentsData!B:B)=29,IF(MONTH(PaymentsData!B:B)=MONTH(C4),ROW(PaymentsData!B:B))),2)),"#,##0"),"")</f>
        <v/>
      </c>
      <c r="D29" s="33">
        <f>IFERROR(INDEX(PaymentsData!C:C,SMALL(IF(DAY(PaymentsData!B:B)=30,IF(MONTH(PaymentsData!B:B)=MONTH(C4),ROW(PaymentsData!B:B))),2))&amp;" - $"&amp;TEXT(INDEX(PaymentsData!D:D,SMALL(IF(DAY(PaymentsData!B:B)=30,IF(MONTH(PaymentsData!B:B)=MONTH(C4),ROW(PaymentsData!B:B))),2)),"#,##0"),"")</f>
        <v/>
      </c>
      <c r="E29" s="33">
        <f>IFERROR(INDEX(PaymentsData!C:C,SMALL(IF(DAY(PaymentsData!B:B)=31,IF(MONTH(PaymentsData!B:B)=MONTH(C4),ROW(PaymentsData!B:B))),2))&amp;" - $"&amp;TEXT(INDEX(PaymentsData!D:D,SMALL(IF(DAY(PaymentsData!B:B)=31,IF(MONTH(PaymentsData!B:B)=MONTH(C4),ROW(PaymentsData!B:B))),2)),"#,##0"),"")</f>
        <v/>
      </c>
      <c r="F29" s="32" t="n"/>
      <c r="G29" s="32" t="n"/>
      <c r="H29" s="32" t="n"/>
    </row>
    <row r="30" ht="18" customHeight="1">
      <c r="B30" s="33">
        <f>IFERROR(INDEX(PaymentsData!C:C,SMALL(IF(DAY(PaymentsData!B:B)=28,IF(MONTH(PaymentsData!B:B)=MONTH(C4),ROW(PaymentsData!B:B))),3))&amp;" - $"&amp;TEXT(INDEX(PaymentsData!D:D,SMALL(IF(DAY(PaymentsData!B:B)=28,IF(MONTH(PaymentsData!B:B)=MONTH(C4),ROW(PaymentsData!B:B))),3)),"#,##0"),"")</f>
        <v/>
      </c>
      <c r="C30" s="33">
        <f>IFERROR(INDEX(PaymentsData!C:C,SMALL(IF(DAY(PaymentsData!B:B)=29,IF(MONTH(PaymentsData!B:B)=MONTH(C4),ROW(PaymentsData!B:B))),3))&amp;" - $"&amp;TEXT(INDEX(PaymentsData!D:D,SMALL(IF(DAY(PaymentsData!B:B)=29,IF(MONTH(PaymentsData!B:B)=MONTH(C4),ROW(PaymentsData!B:B))),3)),"#,##0"),"")</f>
        <v/>
      </c>
      <c r="D30" s="33">
        <f>IFERROR(INDEX(PaymentsData!C:C,SMALL(IF(DAY(PaymentsData!B:B)=30,IF(MONTH(PaymentsData!B:B)=MONTH(C4),ROW(PaymentsData!B:B))),3))&amp;" - $"&amp;TEXT(INDEX(PaymentsData!D:D,SMALL(IF(DAY(PaymentsData!B:B)=30,IF(MONTH(PaymentsData!B:B)=MONTH(C4),ROW(PaymentsData!B:B))),3)),"#,##0"),"")</f>
        <v/>
      </c>
      <c r="E30" s="33">
        <f>IFERROR(INDEX(PaymentsData!C:C,SMALL(IF(DAY(PaymentsData!B:B)=31,IF(MONTH(PaymentsData!B:B)=MONTH(C4),ROW(PaymentsData!B:B))),3))&amp;" - $"&amp;TEXT(INDEX(PaymentsData!D:D,SMALL(IF(DAY(PaymentsData!B:B)=31,IF(MONTH(PaymentsData!B:B)=MONTH(C4),ROW(PaymentsData!B:B))),3)),"#,##0"),"")</f>
        <v/>
      </c>
      <c r="F30" s="32" t="n"/>
      <c r="G30" s="32" t="n"/>
      <c r="H30" s="32" t="n"/>
    </row>
    <row r="31" ht="18" customHeight="1">
      <c r="B31" s="39" t="n"/>
      <c r="C31" s="39" t="n"/>
      <c r="D31" s="39" t="n"/>
      <c r="E31" s="39" t="n"/>
      <c r="F31" s="38" t="n"/>
      <c r="G31" s="38" t="n"/>
      <c r="H31" s="38" t="n"/>
    </row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</sheetData>
  <mergeCells count="2">
    <mergeCell ref="B2:H2"/>
    <mergeCell ref="J15:K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  <col width="15" customWidth="1" min="8" max="8"/>
    <col width="18" customWidth="1" min="9" max="9"/>
    <col width="15" customWidth="1" min="10" max="10"/>
    <col width="3" customWidth="1" min="11" max="11"/>
  </cols>
  <sheetData>
    <row r="2">
      <c r="B2" s="27" t="inlineStr">
        <is>
          <t>Time Deposit Manager</t>
        </is>
      </c>
    </row>
    <row r="3">
      <c r="B3" s="2" t="inlineStr">
        <is>
          <t>Track and manage your term deposits, CDs, and fixed-income investments</t>
        </is>
      </c>
    </row>
    <row r="5">
      <c r="B5" s="3" t="inlineStr">
        <is>
          <t>Total Deposits</t>
        </is>
      </c>
      <c r="C5" s="45" t="n"/>
      <c r="D5" s="3" t="inlineStr">
        <is>
          <t>Average Rate</t>
        </is>
      </c>
      <c r="E5" s="45" t="n"/>
      <c r="F5" s="3" t="inlineStr">
        <is>
          <t>Expected Interest</t>
        </is>
      </c>
      <c r="G5" s="45" t="n"/>
      <c r="H5" s="3" t="inlineStr">
        <is>
          <t>Maturing (30 days)</t>
        </is>
      </c>
      <c r="I5" s="45" t="n"/>
    </row>
    <row r="6">
      <c r="B6" s="46">
        <f>SUMIF(DepositsData!G:G,"Active",DepositsData!D:D)</f>
        <v/>
      </c>
      <c r="C6" s="47" t="n"/>
      <c r="D6" s="48">
        <f>AVERAGEIF(DepositsData!G:G,"Active",DepositsData!E:E)</f>
        <v/>
      </c>
      <c r="E6" s="47" t="n"/>
      <c r="F6" s="49">
        <f>SUMIF(DepositsData!G:G,"Active",DepositsData!H:H)</f>
        <v/>
      </c>
      <c r="G6" s="47" t="n"/>
      <c r="H6" s="50">
        <f>SUMPRODUCT((DepositsData!F2:F100&gt;=TODAY())*(DepositsData!F2:F100&lt;=TODAY()+30)*(DepositsData!G2:G100="Active")*DepositsData!D2:D100)</f>
        <v/>
      </c>
      <c r="I6" s="47" t="n"/>
    </row>
    <row r="7">
      <c r="B7" s="51" t="n"/>
      <c r="C7" s="15" t="n"/>
      <c r="D7" s="51" t="n"/>
      <c r="E7" s="15" t="n"/>
      <c r="F7" s="51" t="n"/>
      <c r="G7" s="15" t="n"/>
      <c r="H7" s="51" t="n"/>
      <c r="I7" s="15" t="n"/>
    </row>
    <row r="9">
      <c r="B9" s="17" t="inlineStr">
        <is>
          <t>Active Time Deposits</t>
        </is>
      </c>
    </row>
    <row r="10">
      <c r="B10" s="52" t="inlineStr">
        <is>
          <t>ID</t>
        </is>
      </c>
      <c r="C10" s="52" t="inlineStr">
        <is>
          <t>Bank/Institution</t>
        </is>
      </c>
      <c r="D10" s="52" t="inlineStr">
        <is>
          <t>Principal</t>
        </is>
      </c>
      <c r="E10" s="52" t="inlineStr">
        <is>
          <t>Rate</t>
        </is>
      </c>
      <c r="F10" s="52" t="inlineStr">
        <is>
          <t>Start Date</t>
        </is>
      </c>
      <c r="G10" s="52" t="inlineStr">
        <is>
          <t>Maturity</t>
        </is>
      </c>
      <c r="H10" s="52" t="inlineStr">
        <is>
          <t>Days Left</t>
        </is>
      </c>
      <c r="I10" s="52" t="inlineStr">
        <is>
          <t>Interest</t>
        </is>
      </c>
      <c r="J10" s="52" t="inlineStr">
        <is>
          <t>Status</t>
        </is>
      </c>
    </row>
    <row r="11">
      <c r="B11" s="53">
        <f>DepositsData!A2</f>
        <v/>
      </c>
      <c r="C11" s="53">
        <f>DepositsData!B2</f>
        <v/>
      </c>
      <c r="D11" s="54">
        <f>DepositsData!D2</f>
        <v/>
      </c>
      <c r="E11" s="55">
        <f>DepositsData!E2</f>
        <v/>
      </c>
      <c r="F11" s="56">
        <f>DepositsData!C2</f>
        <v/>
      </c>
      <c r="G11" s="56">
        <f>DepositsData!F2</f>
        <v/>
      </c>
      <c r="H11" s="53">
        <f>IF(DepositsData!F2="","",MAX(0,DepositsData!F2-TODAY()))</f>
        <v/>
      </c>
      <c r="I11" s="54">
        <f>DepositsData!H2</f>
        <v/>
      </c>
      <c r="J11" s="53">
        <f>DepositsData!G2</f>
        <v/>
      </c>
    </row>
    <row r="12">
      <c r="B12" s="53">
        <f>DepositsData!A3</f>
        <v/>
      </c>
      <c r="C12" s="53">
        <f>DepositsData!B3</f>
        <v/>
      </c>
      <c r="D12" s="54">
        <f>DepositsData!D3</f>
        <v/>
      </c>
      <c r="E12" s="55">
        <f>DepositsData!E3</f>
        <v/>
      </c>
      <c r="F12" s="56">
        <f>DepositsData!C3</f>
        <v/>
      </c>
      <c r="G12" s="56">
        <f>DepositsData!F3</f>
        <v/>
      </c>
      <c r="H12" s="53">
        <f>IF(DepositsData!F3="","",MAX(0,DepositsData!F3-TODAY()))</f>
        <v/>
      </c>
      <c r="I12" s="54">
        <f>DepositsData!H3</f>
        <v/>
      </c>
      <c r="J12" s="53">
        <f>DepositsData!G3</f>
        <v/>
      </c>
    </row>
    <row r="13">
      <c r="B13" s="53">
        <f>DepositsData!A4</f>
        <v/>
      </c>
      <c r="C13" s="53">
        <f>DepositsData!B4</f>
        <v/>
      </c>
      <c r="D13" s="54">
        <f>DepositsData!D4</f>
        <v/>
      </c>
      <c r="E13" s="55">
        <f>DepositsData!E4</f>
        <v/>
      </c>
      <c r="F13" s="56">
        <f>DepositsData!C4</f>
        <v/>
      </c>
      <c r="G13" s="56">
        <f>DepositsData!F4</f>
        <v/>
      </c>
      <c r="H13" s="53">
        <f>IF(DepositsData!F4="","",MAX(0,DepositsData!F4-TODAY()))</f>
        <v/>
      </c>
      <c r="I13" s="54">
        <f>DepositsData!H4</f>
        <v/>
      </c>
      <c r="J13" s="53">
        <f>DepositsData!G4</f>
        <v/>
      </c>
    </row>
    <row r="14">
      <c r="B14" s="53">
        <f>DepositsData!A5</f>
        <v/>
      </c>
      <c r="C14" s="53">
        <f>DepositsData!B5</f>
        <v/>
      </c>
      <c r="D14" s="54">
        <f>DepositsData!D5</f>
        <v/>
      </c>
      <c r="E14" s="55">
        <f>DepositsData!E5</f>
        <v/>
      </c>
      <c r="F14" s="56">
        <f>DepositsData!C5</f>
        <v/>
      </c>
      <c r="G14" s="56">
        <f>DepositsData!F5</f>
        <v/>
      </c>
      <c r="H14" s="53">
        <f>IF(DepositsData!F5="","",MAX(0,DepositsData!F5-TODAY()))</f>
        <v/>
      </c>
      <c r="I14" s="54">
        <f>DepositsData!H5</f>
        <v/>
      </c>
      <c r="J14" s="53">
        <f>DepositsData!G5</f>
        <v/>
      </c>
    </row>
    <row r="15">
      <c r="B15" s="53">
        <f>DepositsData!A6</f>
        <v/>
      </c>
      <c r="C15" s="53">
        <f>DepositsData!B6</f>
        <v/>
      </c>
      <c r="D15" s="54">
        <f>DepositsData!D6</f>
        <v/>
      </c>
      <c r="E15" s="55">
        <f>DepositsData!E6</f>
        <v/>
      </c>
      <c r="F15" s="56">
        <f>DepositsData!C6</f>
        <v/>
      </c>
      <c r="G15" s="56">
        <f>DepositsData!F6</f>
        <v/>
      </c>
      <c r="H15" s="53">
        <f>IF(DepositsData!F6="","",MAX(0,DepositsData!F6-TODAY()))</f>
        <v/>
      </c>
      <c r="I15" s="54">
        <f>DepositsData!H6</f>
        <v/>
      </c>
      <c r="J15" s="53">
        <f>DepositsData!G6</f>
        <v/>
      </c>
    </row>
    <row r="16">
      <c r="B16" s="53">
        <f>DepositsData!A7</f>
        <v/>
      </c>
      <c r="C16" s="53">
        <f>DepositsData!B7</f>
        <v/>
      </c>
      <c r="D16" s="54">
        <f>DepositsData!D7</f>
        <v/>
      </c>
      <c r="E16" s="55">
        <f>DepositsData!E7</f>
        <v/>
      </c>
      <c r="F16" s="56">
        <f>DepositsData!C7</f>
        <v/>
      </c>
      <c r="G16" s="56">
        <f>DepositsData!F7</f>
        <v/>
      </c>
      <c r="H16" s="53">
        <f>IF(DepositsData!F7="","",MAX(0,DepositsData!F7-TODAY()))</f>
        <v/>
      </c>
      <c r="I16" s="54">
        <f>DepositsData!H7</f>
        <v/>
      </c>
      <c r="J16" s="53">
        <f>DepositsData!G7</f>
        <v/>
      </c>
    </row>
    <row r="17">
      <c r="B17" s="53">
        <f>DepositsData!A8</f>
        <v/>
      </c>
      <c r="C17" s="53">
        <f>DepositsData!B8</f>
        <v/>
      </c>
      <c r="D17" s="54">
        <f>DepositsData!D8</f>
        <v/>
      </c>
      <c r="E17" s="55">
        <f>DepositsData!E8</f>
        <v/>
      </c>
      <c r="F17" s="56">
        <f>DepositsData!C8</f>
        <v/>
      </c>
      <c r="G17" s="56">
        <f>DepositsData!F8</f>
        <v/>
      </c>
      <c r="H17" s="53">
        <f>IF(DepositsData!F8="","",MAX(0,DepositsData!F8-TODAY()))</f>
        <v/>
      </c>
      <c r="I17" s="54">
        <f>DepositsData!H8</f>
        <v/>
      </c>
      <c r="J17" s="53">
        <f>DepositsData!G8</f>
        <v/>
      </c>
    </row>
    <row r="18">
      <c r="B18" s="53">
        <f>DepositsData!A9</f>
        <v/>
      </c>
      <c r="C18" s="53">
        <f>DepositsData!B9</f>
        <v/>
      </c>
      <c r="D18" s="54">
        <f>DepositsData!D9</f>
        <v/>
      </c>
      <c r="E18" s="55">
        <f>DepositsData!E9</f>
        <v/>
      </c>
      <c r="F18" s="56">
        <f>DepositsData!C9</f>
        <v/>
      </c>
      <c r="G18" s="56">
        <f>DepositsData!F9</f>
        <v/>
      </c>
      <c r="H18" s="53">
        <f>IF(DepositsData!F9="","",MAX(0,DepositsData!F9-TODAY()))</f>
        <v/>
      </c>
      <c r="I18" s="54">
        <f>DepositsData!H9</f>
        <v/>
      </c>
      <c r="J18" s="53">
        <f>DepositsData!G9</f>
        <v/>
      </c>
    </row>
    <row r="19">
      <c r="B19" s="53">
        <f>DepositsData!A10</f>
        <v/>
      </c>
      <c r="C19" s="53">
        <f>DepositsData!B10</f>
        <v/>
      </c>
      <c r="D19" s="54">
        <f>DepositsData!D10</f>
        <v/>
      </c>
      <c r="E19" s="55">
        <f>DepositsData!E10</f>
        <v/>
      </c>
      <c r="F19" s="56">
        <f>DepositsData!C10</f>
        <v/>
      </c>
      <c r="G19" s="56">
        <f>DepositsData!F10</f>
        <v/>
      </c>
      <c r="H19" s="53">
        <f>IF(DepositsData!F10="","",MAX(0,DepositsData!F10-TODAY()))</f>
        <v/>
      </c>
      <c r="I19" s="54">
        <f>DepositsData!H10</f>
        <v/>
      </c>
      <c r="J19" s="53">
        <f>DepositsData!G10</f>
        <v/>
      </c>
    </row>
    <row r="20">
      <c r="B20" s="53">
        <f>DepositsData!A11</f>
        <v/>
      </c>
      <c r="C20" s="53">
        <f>DepositsData!B11</f>
        <v/>
      </c>
      <c r="D20" s="54">
        <f>DepositsData!D11</f>
        <v/>
      </c>
      <c r="E20" s="55">
        <f>DepositsData!E11</f>
        <v/>
      </c>
      <c r="F20" s="56">
        <f>DepositsData!C11</f>
        <v/>
      </c>
      <c r="G20" s="56">
        <f>DepositsData!F11</f>
        <v/>
      </c>
      <c r="H20" s="53">
        <f>IF(DepositsData!F11="","",MAX(0,DepositsData!F11-TODAY()))</f>
        <v/>
      </c>
      <c r="I20" s="54">
        <f>DepositsData!H11</f>
        <v/>
      </c>
      <c r="J20" s="53">
        <f>DepositsData!G11</f>
        <v/>
      </c>
    </row>
    <row r="21">
      <c r="B21" s="53">
        <f>DepositsData!A12</f>
        <v/>
      </c>
      <c r="C21" s="53">
        <f>DepositsData!B12</f>
        <v/>
      </c>
      <c r="D21" s="54">
        <f>DepositsData!D12</f>
        <v/>
      </c>
      <c r="E21" s="55">
        <f>DepositsData!E12</f>
        <v/>
      </c>
      <c r="F21" s="56">
        <f>DepositsData!C12</f>
        <v/>
      </c>
      <c r="G21" s="56">
        <f>DepositsData!F12</f>
        <v/>
      </c>
      <c r="H21" s="53">
        <f>IF(DepositsData!F12="","",MAX(0,DepositsData!F12-TODAY()))</f>
        <v/>
      </c>
      <c r="I21" s="54">
        <f>DepositsData!H12</f>
        <v/>
      </c>
      <c r="J21" s="53">
        <f>DepositsData!G12</f>
        <v/>
      </c>
    </row>
    <row r="22">
      <c r="B22" s="53">
        <f>DepositsData!A13</f>
        <v/>
      </c>
      <c r="C22" s="53">
        <f>DepositsData!B13</f>
        <v/>
      </c>
      <c r="D22" s="54">
        <f>DepositsData!D13</f>
        <v/>
      </c>
      <c r="E22" s="55">
        <f>DepositsData!E13</f>
        <v/>
      </c>
      <c r="F22" s="56">
        <f>DepositsData!C13</f>
        <v/>
      </c>
      <c r="G22" s="56">
        <f>DepositsData!F13</f>
        <v/>
      </c>
      <c r="H22" s="53">
        <f>IF(DepositsData!F13="","",MAX(0,DepositsData!F13-TODAY()))</f>
        <v/>
      </c>
      <c r="I22" s="54">
        <f>DepositsData!H13</f>
        <v/>
      </c>
      <c r="J22" s="53">
        <f>DepositsData!G13</f>
        <v/>
      </c>
    </row>
    <row r="23">
      <c r="B23" s="53">
        <f>DepositsData!A14</f>
        <v/>
      </c>
      <c r="C23" s="53">
        <f>DepositsData!B14</f>
        <v/>
      </c>
      <c r="D23" s="54">
        <f>DepositsData!D14</f>
        <v/>
      </c>
      <c r="E23" s="55">
        <f>DepositsData!E14</f>
        <v/>
      </c>
      <c r="F23" s="56">
        <f>DepositsData!C14</f>
        <v/>
      </c>
      <c r="G23" s="56">
        <f>DepositsData!F14</f>
        <v/>
      </c>
      <c r="H23" s="53">
        <f>IF(DepositsData!F14="","",MAX(0,DepositsData!F14-TODAY()))</f>
        <v/>
      </c>
      <c r="I23" s="54">
        <f>DepositsData!H14</f>
        <v/>
      </c>
      <c r="J23" s="53">
        <f>DepositsData!G14</f>
        <v/>
      </c>
    </row>
    <row r="24">
      <c r="B24" s="53">
        <f>DepositsData!A15</f>
        <v/>
      </c>
      <c r="C24" s="53">
        <f>DepositsData!B15</f>
        <v/>
      </c>
      <c r="D24" s="54">
        <f>DepositsData!D15</f>
        <v/>
      </c>
      <c r="E24" s="55">
        <f>DepositsData!E15</f>
        <v/>
      </c>
      <c r="F24" s="56">
        <f>DepositsData!C15</f>
        <v/>
      </c>
      <c r="G24" s="56">
        <f>DepositsData!F15</f>
        <v/>
      </c>
      <c r="H24" s="53">
        <f>IF(DepositsData!F15="","",MAX(0,DepositsData!F15-TODAY()))</f>
        <v/>
      </c>
      <c r="I24" s="54">
        <f>DepositsData!H15</f>
        <v/>
      </c>
      <c r="J24" s="53">
        <f>DepositsData!G15</f>
        <v/>
      </c>
    </row>
    <row r="25">
      <c r="B25" s="53">
        <f>DepositsData!A16</f>
        <v/>
      </c>
      <c r="C25" s="53">
        <f>DepositsData!B16</f>
        <v/>
      </c>
      <c r="D25" s="54">
        <f>DepositsData!D16</f>
        <v/>
      </c>
      <c r="E25" s="55">
        <f>DepositsData!E16</f>
        <v/>
      </c>
      <c r="F25" s="56">
        <f>DepositsData!C16</f>
        <v/>
      </c>
      <c r="G25" s="56">
        <f>DepositsData!F16</f>
        <v/>
      </c>
      <c r="H25" s="53">
        <f>IF(DepositsData!F16="","",MAX(0,DepositsData!F16-TODAY()))</f>
        <v/>
      </c>
      <c r="I25" s="54">
        <f>DepositsData!H16</f>
        <v/>
      </c>
      <c r="J25" s="53">
        <f>DepositsData!G16</f>
        <v/>
      </c>
    </row>
    <row r="28">
      <c r="B28" s="17" t="inlineStr">
        <is>
          <t>Maturity Ladder</t>
        </is>
      </c>
    </row>
    <row r="29">
      <c r="B29" s="57" t="inlineStr">
        <is>
          <t>Period</t>
        </is>
      </c>
      <c r="C29" s="57" t="inlineStr">
        <is>
          <t>Count</t>
        </is>
      </c>
      <c r="D29" s="57" t="inlineStr">
        <is>
          <t>Amount</t>
        </is>
      </c>
      <c r="E29" s="57" t="inlineStr">
        <is>
          <t>% of Total</t>
        </is>
      </c>
    </row>
    <row r="30">
      <c r="B30" s="21" t="inlineStr">
        <is>
          <t>0-30 Days</t>
        </is>
      </c>
      <c r="C30" s="58">
        <f>SUMPRODUCT((DepositsData!F2:F100&gt;=TODAY())*(DepositsData!F2:F100&lt;=TODAY()+30)*(DepositsData!G2:G100="Active"))</f>
        <v/>
      </c>
      <c r="D30" s="25">
        <f>SUMPRODUCT((DepositsData!F2:F100&gt;=TODAY())*(DepositsData!F2:F100&lt;=TODAY()+30)*(DepositsData!G2:G100="Active")*DepositsData!D2:D100)</f>
        <v/>
      </c>
      <c r="E30" s="59">
        <f>IFERROR(D30/SUMIF(DepositsData!G:G,"Active",DepositsData!D:D),0)</f>
        <v/>
      </c>
    </row>
    <row r="31">
      <c r="B31" s="21" t="inlineStr">
        <is>
          <t>31-60 Days</t>
        </is>
      </c>
      <c r="C31" s="58">
        <f>SUMPRODUCT((DepositsData!F2:F100&gt;TODAY()+30)*(DepositsData!F2:F100&lt;=TODAY()+60)*(DepositsData!G2:G100="Active"))</f>
        <v/>
      </c>
      <c r="D31" s="25">
        <f>SUMPRODUCT((DepositsData!F2:F100&gt;TODAY()+30)*(DepositsData!F2:F100&lt;=TODAY()+60)*(DepositsData!G2:G100="Active")*DepositsData!D2:D100)</f>
        <v/>
      </c>
      <c r="E31" s="59">
        <f>IFERROR(D31/SUMIF(DepositsData!G:G,"Active",DepositsData!D:D),0)</f>
        <v/>
      </c>
    </row>
    <row r="32">
      <c r="B32" s="21" t="inlineStr">
        <is>
          <t>61-90 Days</t>
        </is>
      </c>
      <c r="C32" s="58">
        <f>SUMPRODUCT((DepositsData!F2:F100&gt;TODAY()+60)*(DepositsData!F2:F100&lt;=TODAY()+90)*(DepositsData!G2:G100="Active"))</f>
        <v/>
      </c>
      <c r="D32" s="25">
        <f>SUMPRODUCT((DepositsData!F2:F100&gt;TODAY()+60)*(DepositsData!F2:F100&lt;=TODAY()+90)*(DepositsData!G2:G100="Active")*DepositsData!D2:D100)</f>
        <v/>
      </c>
      <c r="E32" s="59">
        <f>IFERROR(D32/SUMIF(DepositsData!G:G,"Active",DepositsData!D:D),0)</f>
        <v/>
      </c>
    </row>
    <row r="33">
      <c r="B33" s="21" t="inlineStr">
        <is>
          <t>91-180 Days</t>
        </is>
      </c>
      <c r="C33" s="58">
        <f>SUMPRODUCT((DepositsData!F2:F100&gt;TODAY()+90)*(DepositsData!F2:F100&lt;=TODAY()+180)*(DepositsData!G2:G100="Active"))</f>
        <v/>
      </c>
      <c r="D33" s="25">
        <f>SUMPRODUCT((DepositsData!F2:F100&gt;TODAY()+90)*(DepositsData!F2:F100&lt;=TODAY()+180)*(DepositsData!G2:G100="Active")*DepositsData!D2:D100)</f>
        <v/>
      </c>
      <c r="E33" s="59">
        <f>IFERROR(D33/SUMIF(DepositsData!G:G,"Active",DepositsData!D:D),0)</f>
        <v/>
      </c>
    </row>
    <row r="34">
      <c r="B34" s="21" t="inlineStr">
        <is>
          <t>180+ Days</t>
        </is>
      </c>
      <c r="C34" s="58">
        <f>SUMPRODUCT((DepositsData!F2:F100&gt;TODAY()+180)*(DepositsData!G2:G100="Active"))</f>
        <v/>
      </c>
      <c r="D34" s="25">
        <f>SUMPRODUCT((DepositsData!F2:F100&gt;TODAY()+180)*(DepositsData!G2:G100="Active")*DepositsData!D2:D100)</f>
        <v/>
      </c>
      <c r="E34" s="59">
        <f>IFERROR(D34/SUMIF(DepositsData!G:G,"Active",DepositsData!D:D),0)</f>
        <v/>
      </c>
    </row>
  </sheetData>
  <mergeCells count="6">
    <mergeCell ref="D6:E6"/>
    <mergeCell ref="B6:C6"/>
    <mergeCell ref="B3:J3"/>
    <mergeCell ref="H6:I6"/>
    <mergeCell ref="F6:G6"/>
    <mergeCell ref="B2:J2"/>
  </mergeCells>
  <conditionalFormatting sqref="H11:H25">
    <cfRule type="expression" priority="1" dxfId="2">
      <formula>H11&lt;=30</formula>
    </cfRule>
    <cfRule type="expression" priority="2" dxfId="1">
      <formula>H11&lt;=7</formula>
    </cfRule>
  </conditionalFormatting>
  <conditionalFormatting sqref="J11:J25">
    <cfRule type="expression" priority="3" dxfId="0">
      <formula>J11="Active"</formula>
    </cfRule>
    <cfRule type="expression" priority="4" dxfId="3">
      <formula>J11="Matured"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27" t="inlineStr">
        <is>
          <t>Cash Flow Positions</t>
        </is>
      </c>
    </row>
    <row r="3">
      <c r="B3" s="2" t="inlineStr">
        <is>
          <t>Comprehensive view of cash inflows, outflows, and positions</t>
        </is>
      </c>
    </row>
    <row r="5">
      <c r="B5" s="17" t="inlineStr">
        <is>
          <t>Position Summary</t>
        </is>
      </c>
    </row>
    <row r="6">
      <c r="B6" s="60" t="inlineStr">
        <is>
          <t>Period</t>
        </is>
      </c>
      <c r="C6" s="60" t="inlineStr">
        <is>
          <t>Start Balance</t>
        </is>
      </c>
      <c r="D6" s="60" t="inlineStr">
        <is>
          <t>Inflows</t>
        </is>
      </c>
      <c r="E6" s="60" t="inlineStr">
        <is>
          <t>Outflows</t>
        </is>
      </c>
      <c r="F6" s="60" t="inlineStr">
        <is>
          <t>Net Flow</t>
        </is>
      </c>
      <c r="G6" s="60" t="inlineStr">
        <is>
          <t>End Balance</t>
        </is>
      </c>
      <c r="H6" s="60" t="inlineStr">
        <is>
          <t>Change %</t>
        </is>
      </c>
    </row>
    <row r="7">
      <c r="B7" s="21" t="inlineStr">
        <is>
          <t>Today</t>
        </is>
      </c>
      <c r="C7" s="25">
        <f>CashTransactions!J2</f>
        <v/>
      </c>
      <c r="D7" s="25">
        <f>SUMPRODUCT((CashTransactions!B2:B500&gt;=TODAY())*(CashTransactions!B2:B500&lt;=TODAY())*(CashTransactions!D2:D500&gt;0)*CashTransactions!D2:D500)+SUMPRODUCT((DepositsData!F2:F100&gt;=TODAY())*(DepositsData!F2:F100&lt;=TODAY())*(DepositsData!G2:G100="Active")*(DepositsData!D2:D100+DepositsData!H2:H100))</f>
        <v/>
      </c>
      <c r="E7" s="25">
        <f>SUMPRODUCT((PaymentsData!B2:B500&gt;=TODAY())*(PaymentsData!B2:B500&lt;=TODAY())*(PaymentsData!F2:F500&lt;&gt;"Cancelled")*PaymentsData!D2:D500)+ABS(SUMPRODUCT((CashTransactions!B2:B500&gt;=TODAY())*(CashTransactions!B2:B500&lt;=TODAY())*(CashTransactions!D2:D500&lt;0)*CashTransactions!D2:D500))</f>
        <v/>
      </c>
      <c r="F7" s="25">
        <f>D7-E7</f>
        <v/>
      </c>
      <c r="G7" s="25">
        <f>C7+F7</f>
        <v/>
      </c>
      <c r="H7" s="59">
        <f>IFERROR(F7/C7,0)</f>
        <v/>
      </c>
    </row>
    <row r="8">
      <c r="B8" s="21" t="inlineStr">
        <is>
          <t>This Week</t>
        </is>
      </c>
      <c r="C8" s="25">
        <f>CashTransactions!J2</f>
        <v/>
      </c>
      <c r="D8" s="25">
        <f>SUMPRODUCT((CashTransactions!B2:B500&gt;=TODAY()-WEEKDAY(TODAY(),2)+1)*(CashTransactions!B2:B500&lt;=TODAY()-WEEKDAY(TODAY(),2)+7)*(CashTransactions!D2:D500&gt;0)*CashTransactions!D2:D500)+SUMPRODUCT((DepositsData!F2:F100&gt;=TODAY()-WEEKDAY(TODAY(),2)+1)*(DepositsData!F2:F100&lt;=TODAY()-WEEKDAY(TODAY(),2)+7)*(DepositsData!G2:G100="Active")*(DepositsData!D2:D100+DepositsData!H2:H100))</f>
        <v/>
      </c>
      <c r="E8" s="25">
        <f>SUMPRODUCT((PaymentsData!B2:B500&gt;=TODAY()-WEEKDAY(TODAY(),2)+1)*(PaymentsData!B2:B500&lt;=TODAY()-WEEKDAY(TODAY(),2)+7)*(PaymentsData!F2:F500&lt;&gt;"Cancelled")*PaymentsData!D2:D500)+ABS(SUMPRODUCT((CashTransactions!B2:B500&gt;=TODAY()-WEEKDAY(TODAY(),2)+1)*(CashTransactions!B2:B500&lt;=TODAY()-WEEKDAY(TODAY(),2)+7)*(CashTransactions!D2:D500&lt;0)*CashTransactions!D2:D500))</f>
        <v/>
      </c>
      <c r="F8" s="25">
        <f>D8-E8</f>
        <v/>
      </c>
      <c r="G8" s="25">
        <f>C8+F8</f>
        <v/>
      </c>
      <c r="H8" s="59">
        <f>IFERROR(F8/C8,0)</f>
        <v/>
      </c>
    </row>
    <row r="9">
      <c r="B9" s="21" t="inlineStr">
        <is>
          <t>This Month</t>
        </is>
      </c>
      <c r="C9" s="25">
        <f>CashTransactions!J2</f>
        <v/>
      </c>
      <c r="D9" s="25">
        <f>SUMPRODUCT((CashTransactions!B2:B500&gt;=DATE(YEAR(TODAY()),MONTH(TODAY()),1))*(CashTransactions!B2:B500&lt;=EOMONTH(TODAY(),0))*(CashTransactions!D2:D500&gt;0)*CashTransactions!D2:D500)+SUMPRODUCT((DepositsData!F2:F100&gt;=DATE(YEAR(TODAY()),MONTH(TODAY()),1))*(DepositsData!F2:F100&lt;=EOMONTH(TODAY(),0))*(DepositsData!G2:G100="Active")*(DepositsData!D2:D100+DepositsData!H2:H100))</f>
        <v/>
      </c>
      <c r="E9" s="25">
        <f>SUMPRODUCT((PaymentsData!B2:B500&gt;=DATE(YEAR(TODAY()),MONTH(TODAY()),1))*(PaymentsData!B2:B500&lt;=EOMONTH(TODAY(),0))*(PaymentsData!F2:F500&lt;&gt;"Cancelled")*PaymentsData!D2:D500)+ABS(SUMPRODUCT((CashTransactions!B2:B500&gt;=DATE(YEAR(TODAY()),MONTH(TODAY()),1))*(CashTransactions!B2:B500&lt;=EOMONTH(TODAY(),0))*(CashTransactions!D2:D500&lt;0)*CashTransactions!D2:D500))</f>
        <v/>
      </c>
      <c r="F9" s="25">
        <f>D9-E9</f>
        <v/>
      </c>
      <c r="G9" s="25">
        <f>C9+F9</f>
        <v/>
      </c>
      <c r="H9" s="59">
        <f>IFERROR(F9/C9,0)</f>
        <v/>
      </c>
    </row>
    <row r="10">
      <c r="B10" s="21" t="inlineStr">
        <is>
          <t>Next 30 Days</t>
        </is>
      </c>
      <c r="C10" s="25">
        <f>CashTransactions!J2</f>
        <v/>
      </c>
      <c r="D10" s="25">
        <f>SUMPRODUCT((CashTransactions!B2:B500&gt;=TODAY())*(CashTransactions!B2:B500&lt;=TODAY()+30)*(CashTransactions!D2:D500&gt;0)*CashTransactions!D2:D500)+SUMPRODUCT((DepositsData!F2:F100&gt;=TODAY())*(DepositsData!F2:F100&lt;=TODAY()+30)*(DepositsData!G2:G100="Active")*(DepositsData!D2:D100+DepositsData!H2:H100))</f>
        <v/>
      </c>
      <c r="E10" s="25">
        <f>SUMPRODUCT((PaymentsData!B2:B500&gt;=TODAY())*(PaymentsData!B2:B500&lt;=TODAY()+30)*(PaymentsData!F2:F500&lt;&gt;"Cancelled")*PaymentsData!D2:D500)+ABS(SUMPRODUCT((CashTransactions!B2:B500&gt;=TODAY())*(CashTransactions!B2:B500&lt;=TODAY()+30)*(CashTransactions!D2:D500&lt;0)*CashTransactions!D2:D500))</f>
        <v/>
      </c>
      <c r="F10" s="25">
        <f>D10-E10</f>
        <v/>
      </c>
      <c r="G10" s="25">
        <f>C10+F10</f>
        <v/>
      </c>
      <c r="H10" s="59">
        <f>IFERROR(F10/C10,0)</f>
        <v/>
      </c>
    </row>
    <row r="11">
      <c r="B11" s="21" t="inlineStr">
        <is>
          <t>Next 60 Days</t>
        </is>
      </c>
      <c r="C11" s="25">
        <f>CashTransactions!J2</f>
        <v/>
      </c>
      <c r="D11" s="25">
        <f>SUMPRODUCT((CashTransactions!B2:B500&gt;=TODAY())*(CashTransactions!B2:B500&lt;=TODAY()+60)*(CashTransactions!D2:D500&gt;0)*CashTransactions!D2:D500)+SUMPRODUCT((DepositsData!F2:F100&gt;=TODAY())*(DepositsData!F2:F100&lt;=TODAY()+60)*(DepositsData!G2:G100="Active")*(DepositsData!D2:D100+DepositsData!H2:H100))</f>
        <v/>
      </c>
      <c r="E11" s="25">
        <f>SUMPRODUCT((PaymentsData!B2:B500&gt;=TODAY())*(PaymentsData!B2:B500&lt;=TODAY()+60)*(PaymentsData!F2:F500&lt;&gt;"Cancelled")*PaymentsData!D2:D500)+ABS(SUMPRODUCT((CashTransactions!B2:B500&gt;=TODAY())*(CashTransactions!B2:B500&lt;=TODAY()+60)*(CashTransactions!D2:D500&lt;0)*CashTransactions!D2:D500))</f>
        <v/>
      </c>
      <c r="F11" s="25">
        <f>D11-E11</f>
        <v/>
      </c>
      <c r="G11" s="25">
        <f>C11+F11</f>
        <v/>
      </c>
      <c r="H11" s="59">
        <f>IFERROR(F11/C11,0)</f>
        <v/>
      </c>
    </row>
    <row r="12">
      <c r="B12" s="21" t="inlineStr">
        <is>
          <t>Next 90 Days</t>
        </is>
      </c>
      <c r="C12" s="25">
        <f>CashTransactions!J2</f>
        <v/>
      </c>
      <c r="D12" s="25">
        <f>SUMPRODUCT((CashTransactions!B2:B500&gt;=TODAY())*(CashTransactions!B2:B500&lt;=TODAY()+90)*(CashTransactions!D2:D500&gt;0)*CashTransactions!D2:D500)+SUMPRODUCT((DepositsData!F2:F100&gt;=TODAY())*(DepositsData!F2:F100&lt;=TODAY()+90)*(DepositsData!G2:G100="Active")*(DepositsData!D2:D100+DepositsData!H2:H100))</f>
        <v/>
      </c>
      <c r="E12" s="25">
        <f>SUMPRODUCT((PaymentsData!B2:B500&gt;=TODAY())*(PaymentsData!B2:B500&lt;=TODAY()+90)*(PaymentsData!F2:F500&lt;&gt;"Cancelled")*PaymentsData!D2:D500)+ABS(SUMPRODUCT((CashTransactions!B2:B500&gt;=TODAY())*(CashTransactions!B2:B500&lt;=TODAY()+90)*(CashTransactions!D2:D500&lt;0)*CashTransactions!D2:D500))</f>
        <v/>
      </c>
      <c r="F12" s="25">
        <f>D12-E12</f>
        <v/>
      </c>
      <c r="G12" s="25">
        <f>C12+F12</f>
        <v/>
      </c>
      <c r="H12" s="59">
        <f>IFERROR(F12/C12,0)</f>
        <v/>
      </c>
    </row>
    <row r="14">
      <c r="B14" s="17" t="inlineStr">
        <is>
          <t>Daily Positions (Next 14 Days)</t>
        </is>
      </c>
    </row>
    <row r="15">
      <c r="B15" s="61" t="inlineStr">
        <is>
          <t>Date</t>
        </is>
      </c>
      <c r="C15" s="61" t="inlineStr">
        <is>
          <t>Day</t>
        </is>
      </c>
      <c r="D15" s="61" t="inlineStr">
        <is>
          <t>Inflows</t>
        </is>
      </c>
      <c r="E15" s="61" t="inlineStr">
        <is>
          <t>Outflows</t>
        </is>
      </c>
      <c r="F15" s="61" t="inlineStr">
        <is>
          <t>Net</t>
        </is>
      </c>
      <c r="G15" s="61" t="inlineStr">
        <is>
          <t>Running Balance</t>
        </is>
      </c>
    </row>
    <row r="16">
      <c r="B16" s="62">
        <f>TODAY()+0</f>
        <v/>
      </c>
      <c r="C16" s="63">
        <f>TEXT(B16,"dddd")</f>
        <v/>
      </c>
      <c r="D16" s="64">
        <f>SUMPRODUCT((CashTransactions!B:B=B16)*(CashTransactions!D:D&gt;0)*CashTransactions!D:D)+SUMPRODUCT((DepositsData!F:F=B16)*(DepositsData!G:G="Active")*(DepositsData!D:D+DepositsData!H:H))</f>
        <v/>
      </c>
      <c r="E16" s="64">
        <f>SUMPRODUCT((PaymentsData!B:B=B16)*(PaymentsData!F:F&lt;&gt;"Cancelled")*PaymentsData!D:D)+ABS(SUMPRODUCT((CashTransactions!B:B=B16)*(CashTransactions!D:D&lt;0)*CashTransactions!D:D))</f>
        <v/>
      </c>
      <c r="F16" s="64">
        <f>D16-E16</f>
        <v/>
      </c>
      <c r="G16" s="64">
        <f>CashTransactions!J2+F16</f>
        <v/>
      </c>
    </row>
    <row r="17">
      <c r="B17" s="20">
        <f>TODAY()+1</f>
        <v/>
      </c>
      <c r="C17" s="21">
        <f>TEXT(B17,"dddd")</f>
        <v/>
      </c>
      <c r="D17" s="23">
        <f>SUMPRODUCT((CashTransactions!B:B=B17)*(CashTransactions!D:D&gt;0)*CashTransactions!D:D)+SUMPRODUCT((DepositsData!F:F=B17)*(DepositsData!G:G="Active")*(DepositsData!D:D+DepositsData!H:H))</f>
        <v/>
      </c>
      <c r="E17" s="23">
        <f>SUMPRODUCT((PaymentsData!B:B=B17)*(PaymentsData!F:F&lt;&gt;"Cancelled")*PaymentsData!D:D)+ABS(SUMPRODUCT((CashTransactions!B:B=B17)*(CashTransactions!D:D&lt;0)*CashTransactions!D:D))</f>
        <v/>
      </c>
      <c r="F17" s="23">
        <f>D17-E17</f>
        <v/>
      </c>
      <c r="G17" s="23">
        <f>G16+F17</f>
        <v/>
      </c>
    </row>
    <row r="18">
      <c r="B18" s="20">
        <f>TODAY()+2</f>
        <v/>
      </c>
      <c r="C18" s="21">
        <f>TEXT(B18,"dddd")</f>
        <v/>
      </c>
      <c r="D18" s="23">
        <f>SUMPRODUCT((CashTransactions!B:B=B18)*(CashTransactions!D:D&gt;0)*CashTransactions!D:D)+SUMPRODUCT((DepositsData!F:F=B18)*(DepositsData!G:G="Active")*(DepositsData!D:D+DepositsData!H:H))</f>
        <v/>
      </c>
      <c r="E18" s="23">
        <f>SUMPRODUCT((PaymentsData!B:B=B18)*(PaymentsData!F:F&lt;&gt;"Cancelled")*PaymentsData!D:D)+ABS(SUMPRODUCT((CashTransactions!B:B=B18)*(CashTransactions!D:D&lt;0)*CashTransactions!D:D))</f>
        <v/>
      </c>
      <c r="F18" s="23">
        <f>D18-E18</f>
        <v/>
      </c>
      <c r="G18" s="23">
        <f>G17+F18</f>
        <v/>
      </c>
    </row>
    <row r="19">
      <c r="B19" s="20">
        <f>TODAY()+3</f>
        <v/>
      </c>
      <c r="C19" s="21">
        <f>TEXT(B19,"dddd")</f>
        <v/>
      </c>
      <c r="D19" s="23">
        <f>SUMPRODUCT((CashTransactions!B:B=B19)*(CashTransactions!D:D&gt;0)*CashTransactions!D:D)+SUMPRODUCT((DepositsData!F:F=B19)*(DepositsData!G:G="Active")*(DepositsData!D:D+DepositsData!H:H))</f>
        <v/>
      </c>
      <c r="E19" s="23">
        <f>SUMPRODUCT((PaymentsData!B:B=B19)*(PaymentsData!F:F&lt;&gt;"Cancelled")*PaymentsData!D:D)+ABS(SUMPRODUCT((CashTransactions!B:B=B19)*(CashTransactions!D:D&lt;0)*CashTransactions!D:D))</f>
        <v/>
      </c>
      <c r="F19" s="23">
        <f>D19-E19</f>
        <v/>
      </c>
      <c r="G19" s="23">
        <f>G18+F19</f>
        <v/>
      </c>
    </row>
    <row r="20">
      <c r="B20" s="20">
        <f>TODAY()+4</f>
        <v/>
      </c>
      <c r="C20" s="21">
        <f>TEXT(B20,"dddd")</f>
        <v/>
      </c>
      <c r="D20" s="23">
        <f>SUMPRODUCT((CashTransactions!B:B=B20)*(CashTransactions!D:D&gt;0)*CashTransactions!D:D)+SUMPRODUCT((DepositsData!F:F=B20)*(DepositsData!G:G="Active")*(DepositsData!D:D+DepositsData!H:H))</f>
        <v/>
      </c>
      <c r="E20" s="23">
        <f>SUMPRODUCT((PaymentsData!B:B=B20)*(PaymentsData!F:F&lt;&gt;"Cancelled")*PaymentsData!D:D)+ABS(SUMPRODUCT((CashTransactions!B:B=B20)*(CashTransactions!D:D&lt;0)*CashTransactions!D:D))</f>
        <v/>
      </c>
      <c r="F20" s="23">
        <f>D20-E20</f>
        <v/>
      </c>
      <c r="G20" s="23">
        <f>G19+F20</f>
        <v/>
      </c>
    </row>
    <row r="21">
      <c r="B21" s="20">
        <f>TODAY()+5</f>
        <v/>
      </c>
      <c r="C21" s="21">
        <f>TEXT(B21,"dddd")</f>
        <v/>
      </c>
      <c r="D21" s="23">
        <f>SUMPRODUCT((CashTransactions!B:B=B21)*(CashTransactions!D:D&gt;0)*CashTransactions!D:D)+SUMPRODUCT((DepositsData!F:F=B21)*(DepositsData!G:G="Active")*(DepositsData!D:D+DepositsData!H:H))</f>
        <v/>
      </c>
      <c r="E21" s="23">
        <f>SUMPRODUCT((PaymentsData!B:B=B21)*(PaymentsData!F:F&lt;&gt;"Cancelled")*PaymentsData!D:D)+ABS(SUMPRODUCT((CashTransactions!B:B=B21)*(CashTransactions!D:D&lt;0)*CashTransactions!D:D))</f>
        <v/>
      </c>
      <c r="F21" s="23">
        <f>D21-E21</f>
        <v/>
      </c>
      <c r="G21" s="23">
        <f>G20+F21</f>
        <v/>
      </c>
    </row>
    <row r="22">
      <c r="B22" s="20">
        <f>TODAY()+6</f>
        <v/>
      </c>
      <c r="C22" s="21">
        <f>TEXT(B22,"dddd")</f>
        <v/>
      </c>
      <c r="D22" s="23">
        <f>SUMPRODUCT((CashTransactions!B:B=B22)*(CashTransactions!D:D&gt;0)*CashTransactions!D:D)+SUMPRODUCT((DepositsData!F:F=B22)*(DepositsData!G:G="Active")*(DepositsData!D:D+DepositsData!H:H))</f>
        <v/>
      </c>
      <c r="E22" s="23">
        <f>SUMPRODUCT((PaymentsData!B:B=B22)*(PaymentsData!F:F&lt;&gt;"Cancelled")*PaymentsData!D:D)+ABS(SUMPRODUCT((CashTransactions!B:B=B22)*(CashTransactions!D:D&lt;0)*CashTransactions!D:D))</f>
        <v/>
      </c>
      <c r="F22" s="23">
        <f>D22-E22</f>
        <v/>
      </c>
      <c r="G22" s="23">
        <f>G21+F22</f>
        <v/>
      </c>
    </row>
    <row r="23">
      <c r="B23" s="20">
        <f>TODAY()+7</f>
        <v/>
      </c>
      <c r="C23" s="21">
        <f>TEXT(B23,"dddd")</f>
        <v/>
      </c>
      <c r="D23" s="23">
        <f>SUMPRODUCT((CashTransactions!B:B=B23)*(CashTransactions!D:D&gt;0)*CashTransactions!D:D)+SUMPRODUCT((DepositsData!F:F=B23)*(DepositsData!G:G="Active")*(DepositsData!D:D+DepositsData!H:H))</f>
        <v/>
      </c>
      <c r="E23" s="23">
        <f>SUMPRODUCT((PaymentsData!B:B=B23)*(PaymentsData!F:F&lt;&gt;"Cancelled")*PaymentsData!D:D)+ABS(SUMPRODUCT((CashTransactions!B:B=B23)*(CashTransactions!D:D&lt;0)*CashTransactions!D:D))</f>
        <v/>
      </c>
      <c r="F23" s="23">
        <f>D23-E23</f>
        <v/>
      </c>
      <c r="G23" s="23">
        <f>G22+F23</f>
        <v/>
      </c>
    </row>
    <row r="24">
      <c r="B24" s="20">
        <f>TODAY()+8</f>
        <v/>
      </c>
      <c r="C24" s="21">
        <f>TEXT(B24,"dddd")</f>
        <v/>
      </c>
      <c r="D24" s="23">
        <f>SUMPRODUCT((CashTransactions!B:B=B24)*(CashTransactions!D:D&gt;0)*CashTransactions!D:D)+SUMPRODUCT((DepositsData!F:F=B24)*(DepositsData!G:G="Active")*(DepositsData!D:D+DepositsData!H:H))</f>
        <v/>
      </c>
      <c r="E24" s="23">
        <f>SUMPRODUCT((PaymentsData!B:B=B24)*(PaymentsData!F:F&lt;&gt;"Cancelled")*PaymentsData!D:D)+ABS(SUMPRODUCT((CashTransactions!B:B=B24)*(CashTransactions!D:D&lt;0)*CashTransactions!D:D))</f>
        <v/>
      </c>
      <c r="F24" s="23">
        <f>D24-E24</f>
        <v/>
      </c>
      <c r="G24" s="23">
        <f>G23+F24</f>
        <v/>
      </c>
    </row>
    <row r="25">
      <c r="B25" s="20">
        <f>TODAY()+9</f>
        <v/>
      </c>
      <c r="C25" s="21">
        <f>TEXT(B25,"dddd")</f>
        <v/>
      </c>
      <c r="D25" s="23">
        <f>SUMPRODUCT((CashTransactions!B:B=B25)*(CashTransactions!D:D&gt;0)*CashTransactions!D:D)+SUMPRODUCT((DepositsData!F:F=B25)*(DepositsData!G:G="Active")*(DepositsData!D:D+DepositsData!H:H))</f>
        <v/>
      </c>
      <c r="E25" s="23">
        <f>SUMPRODUCT((PaymentsData!B:B=B25)*(PaymentsData!F:F&lt;&gt;"Cancelled")*PaymentsData!D:D)+ABS(SUMPRODUCT((CashTransactions!B:B=B25)*(CashTransactions!D:D&lt;0)*CashTransactions!D:D))</f>
        <v/>
      </c>
      <c r="F25" s="23">
        <f>D25-E25</f>
        <v/>
      </c>
      <c r="G25" s="23">
        <f>G24+F25</f>
        <v/>
      </c>
    </row>
    <row r="26">
      <c r="B26" s="20">
        <f>TODAY()+10</f>
        <v/>
      </c>
      <c r="C26" s="21">
        <f>TEXT(B26,"dddd")</f>
        <v/>
      </c>
      <c r="D26" s="23">
        <f>SUMPRODUCT((CashTransactions!B:B=B26)*(CashTransactions!D:D&gt;0)*CashTransactions!D:D)+SUMPRODUCT((DepositsData!F:F=B26)*(DepositsData!G:G="Active")*(DepositsData!D:D+DepositsData!H:H))</f>
        <v/>
      </c>
      <c r="E26" s="23">
        <f>SUMPRODUCT((PaymentsData!B:B=B26)*(PaymentsData!F:F&lt;&gt;"Cancelled")*PaymentsData!D:D)+ABS(SUMPRODUCT((CashTransactions!B:B=B26)*(CashTransactions!D:D&lt;0)*CashTransactions!D:D))</f>
        <v/>
      </c>
      <c r="F26" s="23">
        <f>D26-E26</f>
        <v/>
      </c>
      <c r="G26" s="23">
        <f>G25+F26</f>
        <v/>
      </c>
    </row>
    <row r="27">
      <c r="B27" s="20">
        <f>TODAY()+11</f>
        <v/>
      </c>
      <c r="C27" s="21">
        <f>TEXT(B27,"dddd")</f>
        <v/>
      </c>
      <c r="D27" s="23">
        <f>SUMPRODUCT((CashTransactions!B:B=B27)*(CashTransactions!D:D&gt;0)*CashTransactions!D:D)+SUMPRODUCT((DepositsData!F:F=B27)*(DepositsData!G:G="Active")*(DepositsData!D:D+DepositsData!H:H))</f>
        <v/>
      </c>
      <c r="E27" s="23">
        <f>SUMPRODUCT((PaymentsData!B:B=B27)*(PaymentsData!F:F&lt;&gt;"Cancelled")*PaymentsData!D:D)+ABS(SUMPRODUCT((CashTransactions!B:B=B27)*(CashTransactions!D:D&lt;0)*CashTransactions!D:D))</f>
        <v/>
      </c>
      <c r="F27" s="23">
        <f>D27-E27</f>
        <v/>
      </c>
      <c r="G27" s="23">
        <f>G26+F27</f>
        <v/>
      </c>
    </row>
    <row r="28">
      <c r="B28" s="20">
        <f>TODAY()+12</f>
        <v/>
      </c>
      <c r="C28" s="21">
        <f>TEXT(B28,"dddd")</f>
        <v/>
      </c>
      <c r="D28" s="23">
        <f>SUMPRODUCT((CashTransactions!B:B=B28)*(CashTransactions!D:D&gt;0)*CashTransactions!D:D)+SUMPRODUCT((DepositsData!F:F=B28)*(DepositsData!G:G="Active")*(DepositsData!D:D+DepositsData!H:H))</f>
        <v/>
      </c>
      <c r="E28" s="23">
        <f>SUMPRODUCT((PaymentsData!B:B=B28)*(PaymentsData!F:F&lt;&gt;"Cancelled")*PaymentsData!D:D)+ABS(SUMPRODUCT((CashTransactions!B:B=B28)*(CashTransactions!D:D&lt;0)*CashTransactions!D:D))</f>
        <v/>
      </c>
      <c r="F28" s="23">
        <f>D28-E28</f>
        <v/>
      </c>
      <c r="G28" s="23">
        <f>G27+F28</f>
        <v/>
      </c>
    </row>
    <row r="29">
      <c r="B29" s="20">
        <f>TODAY()+13</f>
        <v/>
      </c>
      <c r="C29" s="21">
        <f>TEXT(B29,"dddd")</f>
        <v/>
      </c>
      <c r="D29" s="23">
        <f>SUMPRODUCT((CashTransactions!B:B=B29)*(CashTransactions!D:D&gt;0)*CashTransactions!D:D)+SUMPRODUCT((DepositsData!F:F=B29)*(DepositsData!G:G="Active")*(DepositsData!D:D+DepositsData!H:H))</f>
        <v/>
      </c>
      <c r="E29" s="23">
        <f>SUMPRODUCT((PaymentsData!B:B=B29)*(PaymentsData!F:F&lt;&gt;"Cancelled")*PaymentsData!D:D)+ABS(SUMPRODUCT((CashTransactions!B:B=B29)*(CashTransactions!D:D&lt;0)*CashTransactions!D:D))</f>
        <v/>
      </c>
      <c r="F29" s="23">
        <f>D29-E29</f>
        <v/>
      </c>
      <c r="G29" s="23">
        <f>G28+F29</f>
        <v/>
      </c>
    </row>
    <row r="32">
      <c r="B32" s="17" t="inlineStr">
        <is>
          <t>Weekly Positions (Next 8 Weeks)</t>
        </is>
      </c>
    </row>
    <row r="33">
      <c r="B33" s="65" t="inlineStr">
        <is>
          <t>Week Starting</t>
        </is>
      </c>
      <c r="C33" s="65" t="inlineStr">
        <is>
          <t>Week #</t>
        </is>
      </c>
      <c r="D33" s="65" t="inlineStr">
        <is>
          <t>Inflows</t>
        </is>
      </c>
      <c r="E33" s="65" t="inlineStr">
        <is>
          <t>Outflows</t>
        </is>
      </c>
      <c r="F33" s="65" t="inlineStr">
        <is>
          <t>Net</t>
        </is>
      </c>
      <c r="G33" s="65" t="inlineStr">
        <is>
          <t>End Balance</t>
        </is>
      </c>
    </row>
    <row r="34">
      <c r="B34" s="20">
        <f>TODAY()-WEEKDAY(TODAY(),2)+1+0</f>
        <v/>
      </c>
      <c r="C34" s="21">
        <f>WEEKNUM(B34)</f>
        <v/>
      </c>
      <c r="D34" s="23">
        <f>SUMPRODUCT((CashTransactions!B:B&gt;=B34)*(CashTransactions!B:B&lt;=B34+6)*(CashTransactions!D:D&gt;0)*CashTransactions!D:D)+SUMPRODUCT((DepositsData!F:F&gt;=B34)*(DepositsData!F:F&lt;=B34+6)*(DepositsData!G:G="Active")*(DepositsData!D:D+DepositsData!H:H))</f>
        <v/>
      </c>
      <c r="E34" s="23">
        <f>SUMPRODUCT((PaymentsData!B:B&gt;=B34)*(PaymentsData!B:B&lt;=B34+6)*(PaymentsData!F:F&lt;&gt;"Cancelled")*PaymentsData!D:D)+ABS(SUMPRODUCT((CashTransactions!B:B&gt;=B34)*(CashTransactions!B:B&lt;=B34+6)*(CashTransactions!D:D&lt;0)*CashTransactions!D:D))</f>
        <v/>
      </c>
      <c r="F34" s="23">
        <f>D34-E34</f>
        <v/>
      </c>
      <c r="G34" s="23">
        <f>CashTransactions!J2+F34</f>
        <v/>
      </c>
    </row>
    <row r="35">
      <c r="B35" s="20">
        <f>TODAY()-WEEKDAY(TODAY(),2)+1+7</f>
        <v/>
      </c>
      <c r="C35" s="21">
        <f>WEEKNUM(B35)</f>
        <v/>
      </c>
      <c r="D35" s="23">
        <f>SUMPRODUCT((CashTransactions!B:B&gt;=B35)*(CashTransactions!B:B&lt;=B35+6)*(CashTransactions!D:D&gt;0)*CashTransactions!D:D)+SUMPRODUCT((DepositsData!F:F&gt;=B35)*(DepositsData!F:F&lt;=B35+6)*(DepositsData!G:G="Active")*(DepositsData!D:D+DepositsData!H:H))</f>
        <v/>
      </c>
      <c r="E35" s="23">
        <f>SUMPRODUCT((PaymentsData!B:B&gt;=B35)*(PaymentsData!B:B&lt;=B35+6)*(PaymentsData!F:F&lt;&gt;"Cancelled")*PaymentsData!D:D)+ABS(SUMPRODUCT((CashTransactions!B:B&gt;=B35)*(CashTransactions!B:B&lt;=B35+6)*(CashTransactions!D:D&lt;0)*CashTransactions!D:D))</f>
        <v/>
      </c>
      <c r="F35" s="23">
        <f>D35-E35</f>
        <v/>
      </c>
      <c r="G35" s="23">
        <f>G34+F35</f>
        <v/>
      </c>
    </row>
    <row r="36">
      <c r="B36" s="20">
        <f>TODAY()-WEEKDAY(TODAY(),2)+1+14</f>
        <v/>
      </c>
      <c r="C36" s="21">
        <f>WEEKNUM(B36)</f>
        <v/>
      </c>
      <c r="D36" s="23">
        <f>SUMPRODUCT((CashTransactions!B:B&gt;=B36)*(CashTransactions!B:B&lt;=B36+6)*(CashTransactions!D:D&gt;0)*CashTransactions!D:D)+SUMPRODUCT((DepositsData!F:F&gt;=B36)*(DepositsData!F:F&lt;=B36+6)*(DepositsData!G:G="Active")*(DepositsData!D:D+DepositsData!H:H))</f>
        <v/>
      </c>
      <c r="E36" s="23">
        <f>SUMPRODUCT((PaymentsData!B:B&gt;=B36)*(PaymentsData!B:B&lt;=B36+6)*(PaymentsData!F:F&lt;&gt;"Cancelled")*PaymentsData!D:D)+ABS(SUMPRODUCT((CashTransactions!B:B&gt;=B36)*(CashTransactions!B:B&lt;=B36+6)*(CashTransactions!D:D&lt;0)*CashTransactions!D:D))</f>
        <v/>
      </c>
      <c r="F36" s="23">
        <f>D36-E36</f>
        <v/>
      </c>
      <c r="G36" s="23">
        <f>G35+F36</f>
        <v/>
      </c>
    </row>
    <row r="37">
      <c r="B37" s="20">
        <f>TODAY()-WEEKDAY(TODAY(),2)+1+21</f>
        <v/>
      </c>
      <c r="C37" s="21">
        <f>WEEKNUM(B37)</f>
        <v/>
      </c>
      <c r="D37" s="23">
        <f>SUMPRODUCT((CashTransactions!B:B&gt;=B37)*(CashTransactions!B:B&lt;=B37+6)*(CashTransactions!D:D&gt;0)*CashTransactions!D:D)+SUMPRODUCT((DepositsData!F:F&gt;=B37)*(DepositsData!F:F&lt;=B37+6)*(DepositsData!G:G="Active")*(DepositsData!D:D+DepositsData!H:H))</f>
        <v/>
      </c>
      <c r="E37" s="23">
        <f>SUMPRODUCT((PaymentsData!B:B&gt;=B37)*(PaymentsData!B:B&lt;=B37+6)*(PaymentsData!F:F&lt;&gt;"Cancelled")*PaymentsData!D:D)+ABS(SUMPRODUCT((CashTransactions!B:B&gt;=B37)*(CashTransactions!B:B&lt;=B37+6)*(CashTransactions!D:D&lt;0)*CashTransactions!D:D))</f>
        <v/>
      </c>
      <c r="F37" s="23">
        <f>D37-E37</f>
        <v/>
      </c>
      <c r="G37" s="23">
        <f>G36+F37</f>
        <v/>
      </c>
    </row>
    <row r="38">
      <c r="B38" s="20">
        <f>TODAY()-WEEKDAY(TODAY(),2)+1+28</f>
        <v/>
      </c>
      <c r="C38" s="21">
        <f>WEEKNUM(B38)</f>
        <v/>
      </c>
      <c r="D38" s="23">
        <f>SUMPRODUCT((CashTransactions!B:B&gt;=B38)*(CashTransactions!B:B&lt;=B38+6)*(CashTransactions!D:D&gt;0)*CashTransactions!D:D)+SUMPRODUCT((DepositsData!F:F&gt;=B38)*(DepositsData!F:F&lt;=B38+6)*(DepositsData!G:G="Active")*(DepositsData!D:D+DepositsData!H:H))</f>
        <v/>
      </c>
      <c r="E38" s="23">
        <f>SUMPRODUCT((PaymentsData!B:B&gt;=B38)*(PaymentsData!B:B&lt;=B38+6)*(PaymentsData!F:F&lt;&gt;"Cancelled")*PaymentsData!D:D)+ABS(SUMPRODUCT((CashTransactions!B:B&gt;=B38)*(CashTransactions!B:B&lt;=B38+6)*(CashTransactions!D:D&lt;0)*CashTransactions!D:D))</f>
        <v/>
      </c>
      <c r="F38" s="23">
        <f>D38-E38</f>
        <v/>
      </c>
      <c r="G38" s="23">
        <f>G37+F38</f>
        <v/>
      </c>
    </row>
    <row r="39">
      <c r="B39" s="20">
        <f>TODAY()-WEEKDAY(TODAY(),2)+1+35</f>
        <v/>
      </c>
      <c r="C39" s="21">
        <f>WEEKNUM(B39)</f>
        <v/>
      </c>
      <c r="D39" s="23">
        <f>SUMPRODUCT((CashTransactions!B:B&gt;=B39)*(CashTransactions!B:B&lt;=B39+6)*(CashTransactions!D:D&gt;0)*CashTransactions!D:D)+SUMPRODUCT((DepositsData!F:F&gt;=B39)*(DepositsData!F:F&lt;=B39+6)*(DepositsData!G:G="Active")*(DepositsData!D:D+DepositsData!H:H))</f>
        <v/>
      </c>
      <c r="E39" s="23">
        <f>SUMPRODUCT((PaymentsData!B:B&gt;=B39)*(PaymentsData!B:B&lt;=B39+6)*(PaymentsData!F:F&lt;&gt;"Cancelled")*PaymentsData!D:D)+ABS(SUMPRODUCT((CashTransactions!B:B&gt;=B39)*(CashTransactions!B:B&lt;=B39+6)*(CashTransactions!D:D&lt;0)*CashTransactions!D:D))</f>
        <v/>
      </c>
      <c r="F39" s="23">
        <f>D39-E39</f>
        <v/>
      </c>
      <c r="G39" s="23">
        <f>G38+F39</f>
        <v/>
      </c>
    </row>
    <row r="40">
      <c r="B40" s="20">
        <f>TODAY()-WEEKDAY(TODAY(),2)+1+42</f>
        <v/>
      </c>
      <c r="C40" s="21">
        <f>WEEKNUM(B40)</f>
        <v/>
      </c>
      <c r="D40" s="23">
        <f>SUMPRODUCT((CashTransactions!B:B&gt;=B40)*(CashTransactions!B:B&lt;=B40+6)*(CashTransactions!D:D&gt;0)*CashTransactions!D:D)+SUMPRODUCT((DepositsData!F:F&gt;=B40)*(DepositsData!F:F&lt;=B40+6)*(DepositsData!G:G="Active")*(DepositsData!D:D+DepositsData!H:H))</f>
        <v/>
      </c>
      <c r="E40" s="23">
        <f>SUMPRODUCT((PaymentsData!B:B&gt;=B40)*(PaymentsData!B:B&lt;=B40+6)*(PaymentsData!F:F&lt;&gt;"Cancelled")*PaymentsData!D:D)+ABS(SUMPRODUCT((CashTransactions!B:B&gt;=B40)*(CashTransactions!B:B&lt;=B40+6)*(CashTransactions!D:D&lt;0)*CashTransactions!D:D))</f>
        <v/>
      </c>
      <c r="F40" s="23">
        <f>D40-E40</f>
        <v/>
      </c>
      <c r="G40" s="23">
        <f>G39+F40</f>
        <v/>
      </c>
    </row>
    <row r="41">
      <c r="B41" s="20">
        <f>TODAY()-WEEKDAY(TODAY(),2)+1+49</f>
        <v/>
      </c>
      <c r="C41" s="21">
        <f>WEEKNUM(B41)</f>
        <v/>
      </c>
      <c r="D41" s="23">
        <f>SUMPRODUCT((CashTransactions!B:B&gt;=B41)*(CashTransactions!B:B&lt;=B41+6)*(CashTransactions!D:D&gt;0)*CashTransactions!D:D)+SUMPRODUCT((DepositsData!F:F&gt;=B41)*(DepositsData!F:F&lt;=B41+6)*(DepositsData!G:G="Active")*(DepositsData!D:D+DepositsData!H:H))</f>
        <v/>
      </c>
      <c r="E41" s="23">
        <f>SUMPRODUCT((PaymentsData!B:B&gt;=B41)*(PaymentsData!B:B&lt;=B41+6)*(PaymentsData!F:F&lt;&gt;"Cancelled")*PaymentsData!D:D)+ABS(SUMPRODUCT((CashTransactions!B:B&gt;=B41)*(CashTransactions!B:B&lt;=B41+6)*(CashTransactions!D:D&lt;0)*CashTransactions!D:D))</f>
        <v/>
      </c>
      <c r="F41" s="23">
        <f>D41-E41</f>
        <v/>
      </c>
      <c r="G41" s="23">
        <f>G40+F41</f>
        <v/>
      </c>
    </row>
    <row r="44">
      <c r="B44" s="17" t="inlineStr">
        <is>
          <t>Monthly Positions (Next 6 Months)</t>
        </is>
      </c>
    </row>
    <row r="45">
      <c r="B45" s="66" t="inlineStr">
        <is>
          <t>Month</t>
        </is>
      </c>
      <c r="C45" s="66" t="inlineStr">
        <is>
          <t>Inflows</t>
        </is>
      </c>
      <c r="D45" s="66" t="inlineStr">
        <is>
          <t>Outflows</t>
        </is>
      </c>
      <c r="E45" s="66" t="inlineStr">
        <is>
          <t>Net Flow</t>
        </is>
      </c>
      <c r="F45" s="66" t="inlineStr">
        <is>
          <t>End Balance</t>
        </is>
      </c>
      <c r="G45" s="66" t="inlineStr">
        <is>
          <t>Deposits Maturing</t>
        </is>
      </c>
    </row>
    <row r="46">
      <c r="B46" s="21">
        <f>TEXT(EOMONTH(TODAY(),0),"MMMM YYYY")</f>
        <v/>
      </c>
      <c r="C46" s="23">
        <f>SUMPRODUCT((MONTH(CashTransactions!B:B)=MONTH(EOMONTH(TODAY(),0)))*(YEAR(CashTransactions!B:B)=YEAR(EOMONTH(TODAY(),0)))*(CashTransactions!D:D&gt;0)*CashTransactions!D:D)</f>
        <v/>
      </c>
      <c r="D46" s="23">
        <f>SUMPRODUCT((MONTH(PaymentsData!B:B)=MONTH(EOMONTH(TODAY(),0)))*(YEAR(PaymentsData!B:B)=YEAR(EOMONTH(TODAY(),0)))*(PaymentsData!F:F&lt;&gt;"Cancelled")*PaymentsData!D:D)</f>
        <v/>
      </c>
      <c r="E46" s="23">
        <f>C46-D46</f>
        <v/>
      </c>
      <c r="F46" s="23">
        <f>CashTransactions!J2+E46</f>
        <v/>
      </c>
      <c r="G46" s="23">
        <f>SUMPRODUCT((MONTH(DepositsData!F:F)=MONTH(EOMONTH(TODAY(),0)))*(YEAR(DepositsData!F:F)=YEAR(EOMONTH(TODAY(),0)))*(DepositsData!G:G="Active")*(DepositsData!D:D+DepositsData!H:H))</f>
        <v/>
      </c>
    </row>
    <row r="47">
      <c r="B47" s="21">
        <f>TEXT(EOMONTH(TODAY(),1),"MMMM YYYY")</f>
        <v/>
      </c>
      <c r="C47" s="23">
        <f>SUMPRODUCT((MONTH(CashTransactions!B:B)=MONTH(EOMONTH(TODAY(),1)))*(YEAR(CashTransactions!B:B)=YEAR(EOMONTH(TODAY(),1)))*(CashTransactions!D:D&gt;0)*CashTransactions!D:D)</f>
        <v/>
      </c>
      <c r="D47" s="23">
        <f>SUMPRODUCT((MONTH(PaymentsData!B:B)=MONTH(EOMONTH(TODAY(),1)))*(YEAR(PaymentsData!B:B)=YEAR(EOMONTH(TODAY(),1)))*(PaymentsData!F:F&lt;&gt;"Cancelled")*PaymentsData!D:D)</f>
        <v/>
      </c>
      <c r="E47" s="23">
        <f>C47-D47</f>
        <v/>
      </c>
      <c r="F47" s="23">
        <f>F46+E47</f>
        <v/>
      </c>
      <c r="G47" s="23">
        <f>SUMPRODUCT((MONTH(DepositsData!F:F)=MONTH(EOMONTH(TODAY(),1)))*(YEAR(DepositsData!F:F)=YEAR(EOMONTH(TODAY(),1)))*(DepositsData!G:G="Active")*(DepositsData!D:D+DepositsData!H:H))</f>
        <v/>
      </c>
    </row>
    <row r="48">
      <c r="B48" s="21">
        <f>TEXT(EOMONTH(TODAY(),2),"MMMM YYYY")</f>
        <v/>
      </c>
      <c r="C48" s="23">
        <f>SUMPRODUCT((MONTH(CashTransactions!B:B)=MONTH(EOMONTH(TODAY(),2)))*(YEAR(CashTransactions!B:B)=YEAR(EOMONTH(TODAY(),2)))*(CashTransactions!D:D&gt;0)*CashTransactions!D:D)</f>
        <v/>
      </c>
      <c r="D48" s="23">
        <f>SUMPRODUCT((MONTH(PaymentsData!B:B)=MONTH(EOMONTH(TODAY(),2)))*(YEAR(PaymentsData!B:B)=YEAR(EOMONTH(TODAY(),2)))*(PaymentsData!F:F&lt;&gt;"Cancelled")*PaymentsData!D:D)</f>
        <v/>
      </c>
      <c r="E48" s="23">
        <f>C48-D48</f>
        <v/>
      </c>
      <c r="F48" s="23">
        <f>F47+E48</f>
        <v/>
      </c>
      <c r="G48" s="23">
        <f>SUMPRODUCT((MONTH(DepositsData!F:F)=MONTH(EOMONTH(TODAY(),2)))*(YEAR(DepositsData!F:F)=YEAR(EOMONTH(TODAY(),2)))*(DepositsData!G:G="Active")*(DepositsData!D:D+DepositsData!H:H))</f>
        <v/>
      </c>
    </row>
    <row r="49">
      <c r="B49" s="21">
        <f>TEXT(EOMONTH(TODAY(),3),"MMMM YYYY")</f>
        <v/>
      </c>
      <c r="C49" s="23">
        <f>SUMPRODUCT((MONTH(CashTransactions!B:B)=MONTH(EOMONTH(TODAY(),3)))*(YEAR(CashTransactions!B:B)=YEAR(EOMONTH(TODAY(),3)))*(CashTransactions!D:D&gt;0)*CashTransactions!D:D)</f>
        <v/>
      </c>
      <c r="D49" s="23">
        <f>SUMPRODUCT((MONTH(PaymentsData!B:B)=MONTH(EOMONTH(TODAY(),3)))*(YEAR(PaymentsData!B:B)=YEAR(EOMONTH(TODAY(),3)))*(PaymentsData!F:F&lt;&gt;"Cancelled")*PaymentsData!D:D)</f>
        <v/>
      </c>
      <c r="E49" s="23">
        <f>C49-D49</f>
        <v/>
      </c>
      <c r="F49" s="23">
        <f>F48+E49</f>
        <v/>
      </c>
      <c r="G49" s="23">
        <f>SUMPRODUCT((MONTH(DepositsData!F:F)=MONTH(EOMONTH(TODAY(),3)))*(YEAR(DepositsData!F:F)=YEAR(EOMONTH(TODAY(),3)))*(DepositsData!G:G="Active")*(DepositsData!D:D+DepositsData!H:H))</f>
        <v/>
      </c>
    </row>
    <row r="50">
      <c r="B50" s="21">
        <f>TEXT(EOMONTH(TODAY(),4),"MMMM YYYY")</f>
        <v/>
      </c>
      <c r="C50" s="23">
        <f>SUMPRODUCT((MONTH(CashTransactions!B:B)=MONTH(EOMONTH(TODAY(),4)))*(YEAR(CashTransactions!B:B)=YEAR(EOMONTH(TODAY(),4)))*(CashTransactions!D:D&gt;0)*CashTransactions!D:D)</f>
        <v/>
      </c>
      <c r="D50" s="23">
        <f>SUMPRODUCT((MONTH(PaymentsData!B:B)=MONTH(EOMONTH(TODAY(),4)))*(YEAR(PaymentsData!B:B)=YEAR(EOMONTH(TODAY(),4)))*(PaymentsData!F:F&lt;&gt;"Cancelled")*PaymentsData!D:D)</f>
        <v/>
      </c>
      <c r="E50" s="23">
        <f>C50-D50</f>
        <v/>
      </c>
      <c r="F50" s="23">
        <f>F49+E50</f>
        <v/>
      </c>
      <c r="G50" s="23">
        <f>SUMPRODUCT((MONTH(DepositsData!F:F)=MONTH(EOMONTH(TODAY(),4)))*(YEAR(DepositsData!F:F)=YEAR(EOMONTH(TODAY(),4)))*(DepositsData!G:G="Active")*(DepositsData!D:D+DepositsData!H:H))</f>
        <v/>
      </c>
    </row>
    <row r="51">
      <c r="B51" s="21">
        <f>TEXT(EOMONTH(TODAY(),5),"MMMM YYYY")</f>
        <v/>
      </c>
      <c r="C51" s="23">
        <f>SUMPRODUCT((MONTH(CashTransactions!B:B)=MONTH(EOMONTH(TODAY(),5)))*(YEAR(CashTransactions!B:B)=YEAR(EOMONTH(TODAY(),5)))*(CashTransactions!D:D&gt;0)*CashTransactions!D:D)</f>
        <v/>
      </c>
      <c r="D51" s="23">
        <f>SUMPRODUCT((MONTH(PaymentsData!B:B)=MONTH(EOMONTH(TODAY(),5)))*(YEAR(PaymentsData!B:B)=YEAR(EOMONTH(TODAY(),5)))*(PaymentsData!F:F&lt;&gt;"Cancelled")*PaymentsData!D:D)</f>
        <v/>
      </c>
      <c r="E51" s="23">
        <f>C51-D51</f>
        <v/>
      </c>
      <c r="F51" s="23">
        <f>F50+E51</f>
        <v/>
      </c>
      <c r="G51" s="23">
        <f>SUMPRODUCT((MONTH(DepositsData!F:F)=MONTH(EOMONTH(TODAY(),5)))*(YEAR(DepositsData!F:F)=YEAR(EOMONTH(TODAY(),5)))*(DepositsData!G:G="Active")*(DepositsData!D:D+DepositsData!H:H))</f>
        <v/>
      </c>
    </row>
  </sheetData>
  <mergeCells count="2">
    <mergeCell ref="B3:H3"/>
    <mergeCell ref="B2:H2"/>
  </mergeCells>
  <conditionalFormatting sqref="F7:F12">
    <cfRule type="expression" priority="1" dxfId="0">
      <formula>F7&gt;=0</formula>
    </cfRule>
    <cfRule type="expression" priority="2" dxfId="1">
      <formula>F7&lt;0</formula>
    </cfRule>
  </conditionalFormatting>
  <conditionalFormatting sqref="B16:G16">
    <cfRule type="expression" priority="3" dxfId="4">
      <formula>OR(WEEKDAY(B16)=1,WEEKDAY(B16)=7)</formula>
    </cfRule>
  </conditionalFormatting>
  <conditionalFormatting sqref="B17:G17">
    <cfRule type="expression" priority="4" dxfId="4">
      <formula>OR(WEEKDAY(B17)=1,WEEKDAY(B17)=7)</formula>
    </cfRule>
  </conditionalFormatting>
  <conditionalFormatting sqref="B18:G18">
    <cfRule type="expression" priority="5" dxfId="4">
      <formula>OR(WEEKDAY(B18)=1,WEEKDAY(B18)=7)</formula>
    </cfRule>
  </conditionalFormatting>
  <conditionalFormatting sqref="B19:G19">
    <cfRule type="expression" priority="6" dxfId="4">
      <formula>OR(WEEKDAY(B19)=1,WEEKDAY(B19)=7)</formula>
    </cfRule>
  </conditionalFormatting>
  <conditionalFormatting sqref="B20:G20">
    <cfRule type="expression" priority="7" dxfId="4">
      <formula>OR(WEEKDAY(B20)=1,WEEKDAY(B20)=7)</formula>
    </cfRule>
  </conditionalFormatting>
  <conditionalFormatting sqref="B21:G21">
    <cfRule type="expression" priority="8" dxfId="4">
      <formula>OR(WEEKDAY(B21)=1,WEEKDAY(B21)=7)</formula>
    </cfRule>
  </conditionalFormatting>
  <conditionalFormatting sqref="B22:G22">
    <cfRule type="expression" priority="9" dxfId="4">
      <formula>OR(WEEKDAY(B22)=1,WEEKDAY(B22)=7)</formula>
    </cfRule>
  </conditionalFormatting>
  <conditionalFormatting sqref="B23:G23">
    <cfRule type="expression" priority="10" dxfId="4">
      <formula>OR(WEEKDAY(B23)=1,WEEKDAY(B23)=7)</formula>
    </cfRule>
  </conditionalFormatting>
  <conditionalFormatting sqref="B24:G24">
    <cfRule type="expression" priority="11" dxfId="4">
      <formula>OR(WEEKDAY(B24)=1,WEEKDAY(B24)=7)</formula>
    </cfRule>
  </conditionalFormatting>
  <conditionalFormatting sqref="B25:G25">
    <cfRule type="expression" priority="12" dxfId="4">
      <formula>OR(WEEKDAY(B25)=1,WEEKDAY(B25)=7)</formula>
    </cfRule>
  </conditionalFormatting>
  <conditionalFormatting sqref="B26:G26">
    <cfRule type="expression" priority="13" dxfId="4">
      <formula>OR(WEEKDAY(B26)=1,WEEKDAY(B26)=7)</formula>
    </cfRule>
  </conditionalFormatting>
  <conditionalFormatting sqref="B27:G27">
    <cfRule type="expression" priority="14" dxfId="4">
      <formula>OR(WEEKDAY(B27)=1,WEEKDAY(B27)=7)</formula>
    </cfRule>
  </conditionalFormatting>
  <conditionalFormatting sqref="B28:G28">
    <cfRule type="expression" priority="15" dxfId="4">
      <formula>OR(WEEKDAY(B28)=1,WEEKDAY(B28)=7)</formula>
    </cfRule>
  </conditionalFormatting>
  <conditionalFormatting sqref="B29:G29">
    <cfRule type="expression" priority="16" dxfId="4">
      <formula>OR(WEEKDAY(B29)=1,WEEKDAY(B29)=7)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5" customWidth="1" min="3" max="3"/>
    <col width="15" customWidth="1" min="4" max="4"/>
    <col width="18" customWidth="1" min="5" max="5"/>
    <col width="12" customWidth="1" min="6" max="6"/>
    <col width="30" customWidth="1" min="7" max="7"/>
  </cols>
  <sheetData>
    <row r="1">
      <c r="A1" s="29" t="inlineStr">
        <is>
          <t>Payment ID</t>
        </is>
      </c>
      <c r="B1" s="29" t="inlineStr">
        <is>
          <t>Due Date</t>
        </is>
      </c>
      <c r="C1" s="29" t="inlineStr">
        <is>
          <t>Payee</t>
        </is>
      </c>
      <c r="D1" s="29" t="inlineStr">
        <is>
          <t>Amount</t>
        </is>
      </c>
      <c r="E1" s="29" t="inlineStr">
        <is>
          <t>Category</t>
        </is>
      </c>
      <c r="F1" s="29" t="inlineStr">
        <is>
          <t>Status</t>
        </is>
      </c>
      <c r="G1" s="29" t="inlineStr">
        <is>
          <t>Notes</t>
        </is>
      </c>
    </row>
    <row r="2">
      <c r="A2" s="21" t="inlineStr">
        <is>
          <t>PAY001</t>
        </is>
      </c>
      <c r="B2" s="67" t="n">
        <v>46005.70098003133</v>
      </c>
      <c r="C2" s="21" t="inlineStr">
        <is>
          <t>ABC Suppliers</t>
        </is>
      </c>
      <c r="D2" s="22" t="n">
        <v>15000</v>
      </c>
      <c r="E2" s="21" t="inlineStr">
        <is>
          <t>Vendor</t>
        </is>
      </c>
      <c r="F2" s="21" t="inlineStr">
        <is>
          <t>Scheduled</t>
        </is>
      </c>
      <c r="G2" s="21" t="inlineStr">
        <is>
          <t>Monthly supplies</t>
        </is>
      </c>
    </row>
    <row r="3">
      <c r="A3" s="21" t="inlineStr">
        <is>
          <t>PAY002</t>
        </is>
      </c>
      <c r="B3" s="67" t="n">
        <v>46008.70098003146</v>
      </c>
      <c r="C3" s="21" t="inlineStr">
        <is>
          <t>City Utilities</t>
        </is>
      </c>
      <c r="D3" s="22" t="n">
        <v>3500</v>
      </c>
      <c r="E3" s="21" t="inlineStr">
        <is>
          <t>Utilities</t>
        </is>
      </c>
      <c r="F3" s="21" t="inlineStr">
        <is>
          <t>Pending</t>
        </is>
      </c>
      <c r="G3" s="21" t="inlineStr">
        <is>
          <t>Electric &amp; Water</t>
        </is>
      </c>
    </row>
    <row r="4">
      <c r="A4" s="21" t="inlineStr">
        <is>
          <t>PAY003</t>
        </is>
      </c>
      <c r="B4" s="67" t="n">
        <v>46010.70098003147</v>
      </c>
      <c r="C4" s="21" t="inlineStr">
        <is>
          <t>Office Rent LLC</t>
        </is>
      </c>
      <c r="D4" s="22" t="n">
        <v>25000</v>
      </c>
      <c r="E4" s="21" t="inlineStr">
        <is>
          <t>Rent</t>
        </is>
      </c>
      <c r="F4" s="21" t="inlineStr">
        <is>
          <t>Scheduled</t>
        </is>
      </c>
      <c r="G4" s="21" t="inlineStr">
        <is>
          <t>Monthly rent</t>
        </is>
      </c>
    </row>
    <row r="5">
      <c r="A5" s="21" t="inlineStr">
        <is>
          <t>PAY004</t>
        </is>
      </c>
      <c r="B5" s="67" t="n">
        <v>46013.70098003148</v>
      </c>
      <c r="C5" s="21" t="inlineStr">
        <is>
          <t>Insurance Co.</t>
        </is>
      </c>
      <c r="D5" s="22" t="n">
        <v>5000</v>
      </c>
      <c r="E5" s="21" t="inlineStr">
        <is>
          <t>Insurance</t>
        </is>
      </c>
      <c r="F5" s="21" t="inlineStr">
        <is>
          <t>Scheduled</t>
        </is>
      </c>
      <c r="G5" s="21" t="inlineStr">
        <is>
          <t>Quarterly premium</t>
        </is>
      </c>
    </row>
    <row r="6">
      <c r="A6" s="21" t="inlineStr">
        <is>
          <t>PAY005</t>
        </is>
      </c>
      <c r="B6" s="67" t="n">
        <v>46015.70098003149</v>
      </c>
      <c r="C6" s="21" t="inlineStr">
        <is>
          <t>Payroll</t>
        </is>
      </c>
      <c r="D6" s="22" t="n">
        <v>85000</v>
      </c>
      <c r="E6" s="21" t="inlineStr">
        <is>
          <t>Payroll</t>
        </is>
      </c>
      <c r="F6" s="21" t="inlineStr">
        <is>
          <t>Scheduled</t>
        </is>
      </c>
      <c r="G6" s="21" t="inlineStr">
        <is>
          <t>Bi-weekly payroll</t>
        </is>
      </c>
    </row>
    <row r="7">
      <c r="A7" s="21" t="inlineStr">
        <is>
          <t>PAY006</t>
        </is>
      </c>
      <c r="B7" s="67" t="n">
        <v>46018.70098003151</v>
      </c>
      <c r="C7" s="21" t="inlineStr">
        <is>
          <t>Tech Solutions</t>
        </is>
      </c>
      <c r="D7" s="22" t="n">
        <v>8500</v>
      </c>
      <c r="E7" s="21" t="inlineStr">
        <is>
          <t>Services</t>
        </is>
      </c>
      <c r="F7" s="21" t="inlineStr">
        <is>
          <t>Pending</t>
        </is>
      </c>
      <c r="G7" s="21" t="inlineStr">
        <is>
          <t>IT support</t>
        </is>
      </c>
    </row>
    <row r="8">
      <c r="A8" s="21" t="inlineStr">
        <is>
          <t>PAY007</t>
        </is>
      </c>
      <c r="B8" s="67" t="n">
        <v>46021.70098003151</v>
      </c>
      <c r="C8" s="21" t="inlineStr">
        <is>
          <t>Marketing Agency</t>
        </is>
      </c>
      <c r="D8" s="22" t="n">
        <v>12000</v>
      </c>
      <c r="E8" s="21" t="inlineStr">
        <is>
          <t>Services</t>
        </is>
      </c>
      <c r="F8" s="21" t="inlineStr">
        <is>
          <t>Scheduled</t>
        </is>
      </c>
      <c r="G8" s="21" t="inlineStr">
        <is>
          <t>Monthly retainer</t>
        </is>
      </c>
    </row>
    <row r="9">
      <c r="A9" s="21" t="inlineStr">
        <is>
          <t>PAY008</t>
        </is>
      </c>
      <c r="B9" s="67" t="n">
        <v>46023.70098003153</v>
      </c>
      <c r="C9" s="21" t="inlineStr">
        <is>
          <t>Office Supplies Inc</t>
        </is>
      </c>
      <c r="D9" s="22" t="n">
        <v>2500</v>
      </c>
      <c r="E9" s="21" t="inlineStr">
        <is>
          <t>Supplies</t>
        </is>
      </c>
      <c r="F9" s="21" t="inlineStr">
        <is>
          <t>Scheduled</t>
        </is>
      </c>
      <c r="G9" s="21" t="inlineStr">
        <is>
          <t>Office materials</t>
        </is>
      </c>
    </row>
    <row r="10">
      <c r="A10" s="21" t="inlineStr">
        <is>
          <t>PAY009</t>
        </is>
      </c>
      <c r="B10" s="67" t="n">
        <v>46000.70098003154</v>
      </c>
      <c r="C10" s="21" t="inlineStr">
        <is>
          <t>Contractor XYZ</t>
        </is>
      </c>
      <c r="D10" s="22" t="n">
        <v>7500</v>
      </c>
      <c r="E10" s="21" t="inlineStr">
        <is>
          <t>Services</t>
        </is>
      </c>
      <c r="F10" s="21" t="inlineStr">
        <is>
          <t>Overdue</t>
        </is>
      </c>
      <c r="G10" s="21" t="inlineStr">
        <is>
          <t>Project milestone</t>
        </is>
      </c>
    </row>
    <row r="11">
      <c r="A11" s="21" t="inlineStr">
        <is>
          <t>PAY010</t>
        </is>
      </c>
      <c r="B11" s="67" t="n">
        <v>45998.70098003155</v>
      </c>
      <c r="C11" s="21" t="inlineStr">
        <is>
          <t>Equipment Lease</t>
        </is>
      </c>
      <c r="D11" s="22" t="n">
        <v>4000</v>
      </c>
      <c r="E11" s="21" t="inlineStr">
        <is>
          <t>Other</t>
        </is>
      </c>
      <c r="F11" s="21" t="inlineStr">
        <is>
          <t>Paid</t>
        </is>
      </c>
      <c r="G11" s="21" t="inlineStr">
        <is>
          <t>Monthly lease</t>
        </is>
      </c>
    </row>
    <row r="12">
      <c r="A12" s="21" t="inlineStr">
        <is>
          <t>PAY011</t>
        </is>
      </c>
      <c r="B12" s="67" t="n">
        <v>46028.70098003156</v>
      </c>
      <c r="C12" s="21" t="inlineStr">
        <is>
          <t>Payroll</t>
        </is>
      </c>
      <c r="D12" s="22" t="n">
        <v>85000</v>
      </c>
      <c r="E12" s="21" t="inlineStr">
        <is>
          <t>Payroll</t>
        </is>
      </c>
      <c r="F12" s="21" t="inlineStr">
        <is>
          <t>Scheduled</t>
        </is>
      </c>
      <c r="G12" s="21" t="inlineStr">
        <is>
          <t>Bi-weekly payroll</t>
        </is>
      </c>
    </row>
    <row r="13">
      <c r="A13" s="21" t="inlineStr">
        <is>
          <t>PAY012</t>
        </is>
      </c>
      <c r="B13" s="67" t="n">
        <v>46031.70098003157</v>
      </c>
      <c r="C13" s="21" t="inlineStr">
        <is>
          <t>Tax Authority</t>
        </is>
      </c>
      <c r="D13" s="22" t="n">
        <v>45000</v>
      </c>
      <c r="E13" s="21" t="inlineStr">
        <is>
          <t>Taxes</t>
        </is>
      </c>
      <c r="F13" s="21" t="inlineStr">
        <is>
          <t>Scheduled</t>
        </is>
      </c>
      <c r="G13" s="21" t="inlineStr">
        <is>
          <t>Quarterly taxes</t>
        </is>
      </c>
    </row>
  </sheetData>
  <conditionalFormatting sqref="F2:F500">
    <cfRule type="expression" priority="1" dxfId="0">
      <formula>F2="Paid"</formula>
    </cfRule>
    <cfRule type="expression" priority="2" dxfId="1">
      <formula>F2="Overdue"</formula>
    </cfRule>
    <cfRule type="expression" priority="3" dxfId="2">
      <formula>F2="Pending"</formula>
    </cfRule>
  </conditionalFormatting>
  <dataValidations count="2">
    <dataValidation sqref="F2:F500" showDropDown="0" showInputMessage="0" showErrorMessage="0" allowBlank="1" type="list">
      <formula1>"Scheduled,Pending,Paid,Overdue,Cancelled"</formula1>
    </dataValidation>
    <dataValidation sqref="E2:E500" showDropDown="0" showInputMessage="0" showErrorMessage="0" allowBlank="1" type="list">
      <formula1>"Payroll,Vendor,Utilities,Rent,Insurance,Taxes,Supplies,Services,Other"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12" customWidth="1" min="7" max="7"/>
    <col width="15" customWidth="1" min="8" max="8"/>
    <col width="30" customWidth="1" min="9" max="9"/>
  </cols>
  <sheetData>
    <row r="1">
      <c r="A1" s="68" t="inlineStr">
        <is>
          <t>Deposit ID</t>
        </is>
      </c>
      <c r="B1" s="68" t="inlineStr">
        <is>
          <t>Bank/Institution</t>
        </is>
      </c>
      <c r="C1" s="68" t="inlineStr">
        <is>
          <t>Start Date</t>
        </is>
      </c>
      <c r="D1" s="68" t="inlineStr">
        <is>
          <t>Principal</t>
        </is>
      </c>
      <c r="E1" s="68" t="inlineStr">
        <is>
          <t>Rate</t>
        </is>
      </c>
      <c r="F1" s="68" t="inlineStr">
        <is>
          <t>Maturity Date</t>
        </is>
      </c>
      <c r="G1" s="68" t="inlineStr">
        <is>
          <t>Status</t>
        </is>
      </c>
      <c r="H1" s="68" t="inlineStr">
        <is>
          <t>Interest</t>
        </is>
      </c>
      <c r="I1" s="68" t="inlineStr">
        <is>
          <t>Notes</t>
        </is>
      </c>
    </row>
    <row r="2">
      <c r="A2" s="21" t="inlineStr">
        <is>
          <t>TD001</t>
        </is>
      </c>
      <c r="B2" s="21" t="inlineStr">
        <is>
          <t>First National Bank</t>
        </is>
      </c>
      <c r="C2" s="67" t="n">
        <v>45913.7009800697</v>
      </c>
      <c r="D2" s="22" t="n">
        <v>500000</v>
      </c>
      <c r="E2" s="69" t="n">
        <v>0.045</v>
      </c>
      <c r="F2" s="67" t="n">
        <v>46093.70098006978</v>
      </c>
      <c r="G2" s="21" t="inlineStr">
        <is>
          <t>Active</t>
        </is>
      </c>
      <c r="H2" s="22">
        <f>D2*E2*(F2-C2)/365</f>
        <v/>
      </c>
      <c r="I2" s="21" t="inlineStr">
        <is>
          <t>6-month CD</t>
        </is>
      </c>
    </row>
    <row r="3">
      <c r="A3" s="21" t="inlineStr">
        <is>
          <t>TD002</t>
        </is>
      </c>
      <c r="B3" s="21" t="inlineStr">
        <is>
          <t>City Credit Union</t>
        </is>
      </c>
      <c r="C3" s="67" t="n">
        <v>45943.70098006979</v>
      </c>
      <c r="D3" s="22" t="n">
        <v>250000</v>
      </c>
      <c r="E3" s="69" t="n">
        <v>0.0425</v>
      </c>
      <c r="F3" s="67" t="n">
        <v>46123.7009800698</v>
      </c>
      <c r="G3" s="21" t="inlineStr">
        <is>
          <t>Active</t>
        </is>
      </c>
      <c r="H3" s="22">
        <f>D3*E3*(F3-C3)/365</f>
        <v/>
      </c>
      <c r="I3" s="21" t="inlineStr">
        <is>
          <t>6-month term</t>
        </is>
      </c>
    </row>
    <row r="4">
      <c r="A4" s="21" t="inlineStr">
        <is>
          <t>TD003</t>
        </is>
      </c>
      <c r="B4" s="21" t="inlineStr">
        <is>
          <t>State Bank</t>
        </is>
      </c>
      <c r="C4" s="67" t="n">
        <v>45973.70098006981</v>
      </c>
      <c r="D4" s="22" t="n">
        <v>750000</v>
      </c>
      <c r="E4" s="69" t="n">
        <v>0.05</v>
      </c>
      <c r="F4" s="67" t="n">
        <v>46338.70098006981</v>
      </c>
      <c r="G4" s="21" t="inlineStr">
        <is>
          <t>Active</t>
        </is>
      </c>
      <c r="H4" s="22">
        <f>D4*E4*(F4-C4)/365</f>
        <v/>
      </c>
      <c r="I4" s="21" t="inlineStr">
        <is>
          <t>12-month CD</t>
        </is>
      </c>
    </row>
    <row r="5">
      <c r="A5" s="21" t="inlineStr">
        <is>
          <t>TD004</t>
        </is>
      </c>
      <c r="B5" s="21" t="inlineStr">
        <is>
          <t>Federal Savings</t>
        </is>
      </c>
      <c r="C5" s="67" t="n">
        <v>45823.70098006986</v>
      </c>
      <c r="D5" s="22" t="n">
        <v>300000</v>
      </c>
      <c r="E5" s="69" t="n">
        <v>0.04</v>
      </c>
      <c r="F5" s="67" t="n">
        <v>46008.70098006987</v>
      </c>
      <c r="G5" s="21" t="inlineStr">
        <is>
          <t>Active</t>
        </is>
      </c>
      <c r="H5" s="22">
        <f>D5*E5*(F5-C5)/365</f>
        <v/>
      </c>
      <c r="I5" s="21" t="inlineStr">
        <is>
          <t>Maturing soon</t>
        </is>
      </c>
    </row>
    <row r="6">
      <c r="A6" s="21" t="inlineStr">
        <is>
          <t>TD005</t>
        </is>
      </c>
      <c r="B6" s="21" t="inlineStr">
        <is>
          <t>Capital One</t>
        </is>
      </c>
      <c r="C6" s="67" t="n">
        <v>45883.70098006989</v>
      </c>
      <c r="D6" s="22" t="n">
        <v>400000</v>
      </c>
      <c r="E6" s="69" t="n">
        <v>0.0475</v>
      </c>
      <c r="F6" s="67" t="n">
        <v>46063.70098006989</v>
      </c>
      <c r="G6" s="21" t="inlineStr">
        <is>
          <t>Active</t>
        </is>
      </c>
      <c r="H6" s="22">
        <f>D6*E6*(F6-C6)/365</f>
        <v/>
      </c>
      <c r="I6" s="21" t="inlineStr">
        <is>
          <t>6-month CD</t>
        </is>
      </c>
    </row>
    <row r="7">
      <c r="A7" s="21" t="inlineStr">
        <is>
          <t>TD006</t>
        </is>
      </c>
      <c r="B7" s="21" t="inlineStr">
        <is>
          <t>Wells Fargo</t>
        </is>
      </c>
      <c r="C7" s="67" t="n">
        <v>45638.70098006989</v>
      </c>
      <c r="D7" s="22" t="n">
        <v>200000</v>
      </c>
      <c r="E7" s="69" t="n">
        <v>0.035</v>
      </c>
      <c r="F7" s="67" t="n">
        <v>45998.70098006991</v>
      </c>
      <c r="G7" s="21" t="inlineStr">
        <is>
          <t>Matured</t>
        </is>
      </c>
      <c r="H7" s="22">
        <f>D7*E7*(F7-C7)/365</f>
        <v/>
      </c>
      <c r="I7" s="21" t="inlineStr">
        <is>
          <t>Awaiting reinvestment</t>
        </is>
      </c>
    </row>
    <row r="8">
      <c r="A8" s="21" t="inlineStr">
        <is>
          <t>TD007</t>
        </is>
      </c>
      <c r="B8" s="21" t="inlineStr">
        <is>
          <t>Chase Bank</t>
        </is>
      </c>
      <c r="C8" s="67" t="n">
        <v>45958.70098006992</v>
      </c>
      <c r="D8" s="22" t="n">
        <v>600000</v>
      </c>
      <c r="E8" s="69" t="n">
        <v>0.0525</v>
      </c>
      <c r="F8" s="67" t="n">
        <v>46138.70098006993</v>
      </c>
      <c r="G8" s="21" t="inlineStr">
        <is>
          <t>Active</t>
        </is>
      </c>
      <c r="H8" s="22">
        <f>D8*E8*(F8-C8)/365</f>
        <v/>
      </c>
      <c r="I8" s="21" t="inlineStr">
        <is>
          <t>6-month CD</t>
        </is>
      </c>
    </row>
    <row r="9">
      <c r="A9" s="21" t="inlineStr">
        <is>
          <t>TD008</t>
        </is>
      </c>
      <c r="B9" s="21" t="inlineStr">
        <is>
          <t>Bank of America</t>
        </is>
      </c>
      <c r="C9" s="67" t="n">
        <v>45988.70098006993</v>
      </c>
      <c r="D9" s="22" t="n">
        <v>350000</v>
      </c>
      <c r="E9" s="69" t="n">
        <v>0.048</v>
      </c>
      <c r="F9" s="67" t="n">
        <v>46168.70098006995</v>
      </c>
      <c r="G9" s="21" t="inlineStr">
        <is>
          <t>Active</t>
        </is>
      </c>
      <c r="H9" s="22">
        <f>D9*E9*(F9-C9)/365</f>
        <v/>
      </c>
      <c r="I9" s="21" t="inlineStr">
        <is>
          <t>6-month term</t>
        </is>
      </c>
    </row>
  </sheetData>
  <dataValidations count="1">
    <dataValidation sqref="G2:G100" showDropDown="0" showInputMessage="0" showErrorMessage="0" allowBlank="1" type="list">
      <formula1>"Active,Matured,Withdrawn,Renewed"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8" customWidth="1" min="4" max="4"/>
    <col width="25" customWidth="1" min="5" max="5"/>
    <col width="18" customWidth="1" min="6" max="6"/>
    <col width="15" customWidth="1" min="7" max="7"/>
    <col width="15" customWidth="1" min="8" max="8"/>
    <col width="30" customWidth="1" min="9" max="9"/>
    <col width="18" customWidth="1" min="10" max="10"/>
  </cols>
  <sheetData>
    <row r="1">
      <c r="A1" s="70" t="inlineStr">
        <is>
          <t>Trans ID</t>
        </is>
      </c>
      <c r="B1" s="70" t="inlineStr">
        <is>
          <t>Date</t>
        </is>
      </c>
      <c r="C1" s="70" t="inlineStr">
        <is>
          <t>Type</t>
        </is>
      </c>
      <c r="D1" s="70" t="inlineStr">
        <is>
          <t>Amount</t>
        </is>
      </c>
      <c r="E1" s="70" t="inlineStr">
        <is>
          <t>Description</t>
        </is>
      </c>
      <c r="F1" s="70" t="inlineStr">
        <is>
          <t>Category</t>
        </is>
      </c>
      <c r="G1" s="70" t="inlineStr">
        <is>
          <t>Account</t>
        </is>
      </c>
      <c r="H1" s="70" t="inlineStr">
        <is>
          <t>Reference</t>
        </is>
      </c>
      <c r="I1" s="70" t="inlineStr">
        <is>
          <t>Notes</t>
        </is>
      </c>
      <c r="J1" s="70" t="inlineStr">
        <is>
          <t>Running Balance</t>
        </is>
      </c>
    </row>
    <row r="2">
      <c r="A2" s="21" t="inlineStr">
        <is>
          <t>TRX001</t>
        </is>
      </c>
      <c r="B2" s="67" t="n">
        <v>45993.70098010181</v>
      </c>
      <c r="C2" s="21" t="inlineStr">
        <is>
          <t>Inflow</t>
        </is>
      </c>
      <c r="D2" s="22" t="n">
        <v>150000</v>
      </c>
      <c r="E2" s="21" t="inlineStr">
        <is>
          <t>Customer Payment - ABC Corp</t>
        </is>
      </c>
      <c r="F2" s="21" t="inlineStr">
        <is>
          <t>Revenue</t>
        </is>
      </c>
      <c r="G2" s="21" t="inlineStr">
        <is>
          <t>Operating</t>
        </is>
      </c>
      <c r="H2" s="21" t="inlineStr">
        <is>
          <t>INV-2024-001</t>
        </is>
      </c>
      <c r="I2" s="21" t="inlineStr"/>
      <c r="J2" s="71" t="n">
        <v>2650000</v>
      </c>
    </row>
    <row r="3">
      <c r="A3" s="21" t="inlineStr">
        <is>
          <t>TRX002</t>
        </is>
      </c>
      <c r="B3" s="67" t="n">
        <v>45994.70098010187</v>
      </c>
      <c r="C3" s="21" t="inlineStr">
        <is>
          <t>Outflow</t>
        </is>
      </c>
      <c r="D3" s="22" t="n">
        <v>-45000</v>
      </c>
      <c r="E3" s="21" t="inlineStr">
        <is>
          <t>Supplier Payment</t>
        </is>
      </c>
      <c r="F3" s="21" t="inlineStr">
        <is>
          <t>COGS</t>
        </is>
      </c>
      <c r="G3" s="21" t="inlineStr">
        <is>
          <t>Operating</t>
        </is>
      </c>
      <c r="H3" s="21" t="inlineStr">
        <is>
          <t>PO-2024-123</t>
        </is>
      </c>
      <c r="I3" s="21" t="inlineStr"/>
      <c r="J3" s="71" t="n">
        <v>2605000</v>
      </c>
    </row>
    <row r="4">
      <c r="A4" s="21" t="inlineStr">
        <is>
          <t>TRX003</t>
        </is>
      </c>
      <c r="B4" s="67" t="n">
        <v>45995.70098010189</v>
      </c>
      <c r="C4" s="21" t="inlineStr">
        <is>
          <t>Inflow</t>
        </is>
      </c>
      <c r="D4" s="22" t="n">
        <v>200000</v>
      </c>
      <c r="E4" s="21" t="inlineStr">
        <is>
          <t>Customer Payment - XYZ Inc</t>
        </is>
      </c>
      <c r="F4" s="21" t="inlineStr">
        <is>
          <t>Revenue</t>
        </is>
      </c>
      <c r="G4" s="21" t="inlineStr">
        <is>
          <t>Operating</t>
        </is>
      </c>
      <c r="H4" s="21" t="inlineStr">
        <is>
          <t>INV-2024-002</t>
        </is>
      </c>
      <c r="I4" s="21" t="inlineStr"/>
      <c r="J4" s="71" t="n">
        <v>2805000</v>
      </c>
    </row>
    <row r="5">
      <c r="A5" s="21" t="inlineStr">
        <is>
          <t>TRX004</t>
        </is>
      </c>
      <c r="B5" s="67" t="n">
        <v>45996.70098010189</v>
      </c>
      <c r="C5" s="21" t="inlineStr">
        <is>
          <t>Outflow</t>
        </is>
      </c>
      <c r="D5" s="22" t="n">
        <v>-85000</v>
      </c>
      <c r="E5" s="21" t="inlineStr">
        <is>
          <t>Payroll</t>
        </is>
      </c>
      <c r="F5" s="21" t="inlineStr">
        <is>
          <t>Payroll</t>
        </is>
      </c>
      <c r="G5" s="21" t="inlineStr">
        <is>
          <t>Operating</t>
        </is>
      </c>
      <c r="H5" s="21" t="inlineStr">
        <is>
          <t>PR-2024-24</t>
        </is>
      </c>
      <c r="I5" s="21" t="inlineStr">
        <is>
          <t>Bi-weekly</t>
        </is>
      </c>
      <c r="J5" s="71" t="n">
        <v>2720000</v>
      </c>
    </row>
    <row r="6">
      <c r="A6" s="21" t="inlineStr">
        <is>
          <t>TRX005</t>
        </is>
      </c>
      <c r="B6" s="67" t="n">
        <v>45998.70098010193</v>
      </c>
      <c r="C6" s="21" t="inlineStr">
        <is>
          <t>Inflow</t>
        </is>
      </c>
      <c r="D6" s="22" t="n">
        <v>75000</v>
      </c>
      <c r="E6" s="21" t="inlineStr">
        <is>
          <t>Customer Payment - DEF Ltd</t>
        </is>
      </c>
      <c r="F6" s="21" t="inlineStr">
        <is>
          <t>Revenue</t>
        </is>
      </c>
      <c r="G6" s="21" t="inlineStr">
        <is>
          <t>Operating</t>
        </is>
      </c>
      <c r="H6" s="21" t="inlineStr">
        <is>
          <t>INV-2024-003</t>
        </is>
      </c>
      <c r="I6" s="21" t="inlineStr"/>
      <c r="J6" s="71" t="n">
        <v>2795000</v>
      </c>
    </row>
    <row r="7">
      <c r="A7" s="21" t="inlineStr">
        <is>
          <t>TRX006</t>
        </is>
      </c>
      <c r="B7" s="67" t="n">
        <v>45999.70098010194</v>
      </c>
      <c r="C7" s="21" t="inlineStr">
        <is>
          <t>Outflow</t>
        </is>
      </c>
      <c r="D7" s="22" t="n">
        <v>-25000</v>
      </c>
      <c r="E7" s="21" t="inlineStr">
        <is>
          <t>Office Rent</t>
        </is>
      </c>
      <c r="F7" s="21" t="inlineStr">
        <is>
          <t>Rent</t>
        </is>
      </c>
      <c r="G7" s="21" t="inlineStr">
        <is>
          <t>Operating</t>
        </is>
      </c>
      <c r="H7" s="21" t="inlineStr">
        <is>
          <t>RENT-DEC</t>
        </is>
      </c>
      <c r="I7" s="21" t="inlineStr">
        <is>
          <t>Monthly</t>
        </is>
      </c>
      <c r="J7" s="71" t="n">
        <v>2770000</v>
      </c>
    </row>
    <row r="8">
      <c r="A8" s="21" t="inlineStr">
        <is>
          <t>TRX007</t>
        </is>
      </c>
      <c r="B8" s="67" t="n">
        <v>46000.70098010196</v>
      </c>
      <c r="C8" s="21" t="inlineStr">
        <is>
          <t>Inflow</t>
        </is>
      </c>
      <c r="D8" s="22" t="n">
        <v>500000</v>
      </c>
      <c r="E8" s="21" t="inlineStr">
        <is>
          <t>TD Maturity - Wells Fargo</t>
        </is>
      </c>
      <c r="F8" s="21" t="inlineStr">
        <is>
          <t>Interest</t>
        </is>
      </c>
      <c r="G8" s="21" t="inlineStr">
        <is>
          <t>Investments</t>
        </is>
      </c>
      <c r="H8" s="21" t="inlineStr">
        <is>
          <t>TD006</t>
        </is>
      </c>
      <c r="I8" s="21" t="inlineStr">
        <is>
          <t>Plus interest</t>
        </is>
      </c>
      <c r="J8" s="71" t="n">
        <v>3270000</v>
      </c>
    </row>
    <row r="9">
      <c r="A9" s="21" t="inlineStr">
        <is>
          <t>TRX008</t>
        </is>
      </c>
      <c r="B9" s="67" t="n">
        <v>46001.70098010196</v>
      </c>
      <c r="C9" s="21" t="inlineStr">
        <is>
          <t>Outflow</t>
        </is>
      </c>
      <c r="D9" s="22" t="n">
        <v>-350000</v>
      </c>
      <c r="E9" s="21" t="inlineStr">
        <is>
          <t>New Time Deposit</t>
        </is>
      </c>
      <c r="F9" s="21" t="inlineStr">
        <is>
          <t>Investment</t>
        </is>
      </c>
      <c r="G9" s="21" t="inlineStr">
        <is>
          <t>Investments</t>
        </is>
      </c>
      <c r="H9" s="21" t="inlineStr">
        <is>
          <t>TD008</t>
        </is>
      </c>
      <c r="I9" s="21" t="inlineStr">
        <is>
          <t>6-month term</t>
        </is>
      </c>
      <c r="J9" s="71" t="n">
        <v>2920000</v>
      </c>
    </row>
    <row r="10">
      <c r="A10" s="21" t="inlineStr">
        <is>
          <t>TRX009</t>
        </is>
      </c>
      <c r="B10" s="67" t="n">
        <v>46002.70098010197</v>
      </c>
      <c r="C10" s="21" t="inlineStr">
        <is>
          <t>Inflow</t>
        </is>
      </c>
      <c r="D10" s="22" t="n">
        <v>125000</v>
      </c>
      <c r="E10" s="21" t="inlineStr">
        <is>
          <t>Customer Payment - GHI Co</t>
        </is>
      </c>
      <c r="F10" s="21" t="inlineStr">
        <is>
          <t>Revenue</t>
        </is>
      </c>
      <c r="G10" s="21" t="inlineStr">
        <is>
          <t>Operating</t>
        </is>
      </c>
      <c r="H10" s="21" t="inlineStr">
        <is>
          <t>INV-2024-004</t>
        </is>
      </c>
      <c r="I10" s="21" t="inlineStr"/>
      <c r="J10" s="71" t="n">
        <v>3045000</v>
      </c>
    </row>
    <row r="11">
      <c r="A11" s="21" t="inlineStr">
        <is>
          <t>TRX010</t>
        </is>
      </c>
      <c r="B11" s="67" t="n">
        <v>46003.70098010198</v>
      </c>
      <c r="C11" s="21" t="inlineStr">
        <is>
          <t>Outflow</t>
        </is>
      </c>
      <c r="D11" s="22" t="n">
        <v>-15000</v>
      </c>
      <c r="E11" s="21" t="inlineStr">
        <is>
          <t>Utility Bills</t>
        </is>
      </c>
      <c r="F11" s="21" t="inlineStr">
        <is>
          <t>Utilities</t>
        </is>
      </c>
      <c r="G11" s="21" t="inlineStr">
        <is>
          <t>Operating</t>
        </is>
      </c>
      <c r="H11" s="21" t="inlineStr">
        <is>
          <t>UTIL-DEC</t>
        </is>
      </c>
      <c r="I11" s="21" t="inlineStr">
        <is>
          <t>Electric, Water, Gas</t>
        </is>
      </c>
      <c r="J11" s="71" t="n">
        <v>3030000</v>
      </c>
    </row>
  </sheetData>
  <conditionalFormatting sqref="D2:D500">
    <cfRule type="expression" priority="1" dxfId="5">
      <formula>D2&gt;0</formula>
    </cfRule>
    <cfRule type="expression" priority="2" dxfId="6">
      <formula>D2&lt;0</formula>
    </cfRule>
  </conditionalFormatting>
  <dataValidations count="1">
    <dataValidation sqref="C2:C500" showDropDown="0" showInputMessage="0" showErrorMessage="0" allowBlank="1" type="list">
      <formula1>"Inflow,Outflow"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7" t="inlineStr">
        <is>
          <t>Settings &amp; Configuration</t>
        </is>
      </c>
    </row>
    <row r="4">
      <c r="B4" s="17" t="inlineStr">
        <is>
          <t>Company Information</t>
        </is>
      </c>
    </row>
    <row r="5">
      <c r="B5" s="35" t="inlineStr">
        <is>
          <t>Company Name:</t>
        </is>
      </c>
      <c r="C5" s="72" t="inlineStr">
        <is>
          <t>Your Company Name</t>
        </is>
      </c>
    </row>
    <row r="6">
      <c r="B6" s="35" t="inlineStr">
        <is>
          <t>Currency:</t>
        </is>
      </c>
      <c r="C6" s="72" t="inlineStr">
        <is>
          <t>USD</t>
        </is>
      </c>
    </row>
    <row r="7">
      <c r="B7" s="35" t="inlineStr">
        <is>
          <t>Fiscal Year Start:</t>
        </is>
      </c>
      <c r="C7" s="72" t="inlineStr">
        <is>
          <t>January</t>
        </is>
      </c>
    </row>
    <row r="8">
      <c r="B8" s="35" t="inlineStr">
        <is>
          <t>Default Payment Terms:</t>
        </is>
      </c>
      <c r="C8" s="72" t="inlineStr">
        <is>
          <t>Net 30</t>
        </is>
      </c>
    </row>
    <row r="11">
      <c r="B11" s="17" t="inlineStr">
        <is>
          <t>Payment Categories</t>
        </is>
      </c>
      <c r="D11" s="17" t="inlineStr">
        <is>
          <t>Status Definitions</t>
        </is>
      </c>
    </row>
    <row r="12">
      <c r="B12" s="35" t="inlineStr">
        <is>
          <t>Payroll</t>
        </is>
      </c>
      <c r="D12" s="73" t="inlineStr">
        <is>
          <t>Scheduled</t>
        </is>
      </c>
      <c r="E12" s="74" t="inlineStr">
        <is>
          <t>Future payment, not yet processed</t>
        </is>
      </c>
    </row>
    <row r="13">
      <c r="B13" s="35" t="inlineStr">
        <is>
          <t>Vendor</t>
        </is>
      </c>
      <c r="D13" s="73" t="inlineStr">
        <is>
          <t>Pending</t>
        </is>
      </c>
      <c r="E13" s="74" t="inlineStr">
        <is>
          <t>Payment initiated, awaiting completion</t>
        </is>
      </c>
    </row>
    <row r="14">
      <c r="B14" s="35" t="inlineStr">
        <is>
          <t>Utilities</t>
        </is>
      </c>
      <c r="D14" s="73" t="inlineStr">
        <is>
          <t>Paid</t>
        </is>
      </c>
      <c r="E14" s="74" t="inlineStr">
        <is>
          <t>Payment completed successfully</t>
        </is>
      </c>
    </row>
    <row r="15">
      <c r="B15" s="35" t="inlineStr">
        <is>
          <t>Rent</t>
        </is>
      </c>
      <c r="D15" s="73" t="inlineStr">
        <is>
          <t>Overdue</t>
        </is>
      </c>
      <c r="E15" s="74" t="inlineStr">
        <is>
          <t>Payment past due date</t>
        </is>
      </c>
    </row>
    <row r="16">
      <c r="B16" s="35" t="inlineStr">
        <is>
          <t>Insurance</t>
        </is>
      </c>
      <c r="D16" s="73" t="inlineStr">
        <is>
          <t>Cancelled</t>
        </is>
      </c>
      <c r="E16" s="74" t="inlineStr">
        <is>
          <t>Payment cancelled</t>
        </is>
      </c>
    </row>
    <row r="17">
      <c r="B17" s="35" t="inlineStr">
        <is>
          <t>Taxes</t>
        </is>
      </c>
    </row>
    <row r="18">
      <c r="B18" s="35" t="inlineStr">
        <is>
          <t>Supplies</t>
        </is>
      </c>
    </row>
    <row r="19">
      <c r="B19" s="35" t="inlineStr">
        <is>
          <t>Services</t>
        </is>
      </c>
    </row>
    <row r="20">
      <c r="B20" s="35" t="inlineStr">
        <is>
          <t>Other</t>
        </is>
      </c>
    </row>
    <row r="22">
      <c r="B22" s="17" t="inlineStr">
        <is>
          <t>Alert Thresholds</t>
        </is>
      </c>
    </row>
    <row r="23">
      <c r="B23" s="35" t="inlineStr">
        <is>
          <t>Minimum Cash Balance:</t>
        </is>
      </c>
      <c r="C23" s="72" t="n">
        <v>100000</v>
      </c>
      <c r="D23" s="74" t="inlineStr">
        <is>
          <t>Alert when balance falls below</t>
        </is>
      </c>
    </row>
    <row r="24">
      <c r="B24" s="35" t="inlineStr">
        <is>
          <t>Days Before Maturity Alert:</t>
        </is>
      </c>
      <c r="C24" s="72" t="n">
        <v>30</v>
      </c>
      <c r="D24" s="74" t="inlineStr">
        <is>
          <t>Days before deposit maturity</t>
        </is>
      </c>
    </row>
    <row r="25">
      <c r="B25" s="35" t="inlineStr">
        <is>
          <t>Days Before Payment Due:</t>
        </is>
      </c>
      <c r="C25" s="72" t="n">
        <v>7</v>
      </c>
      <c r="D25" s="74" t="inlineStr">
        <is>
          <t>Days before payment reminder</t>
        </is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2025-12-12T16:49:24Z</dcterms:created>
  <dcterms:modified xsi:type="dcterms:W3CDTF">2025-12-12T16:49:24Z</dcterms:modified>
</cp:coreProperties>
</file>