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ymentCalendar" sheetId="2" state="visible" r:id="rId2"/>
    <sheet name="TimeDeposits" sheetId="3" state="visible" r:id="rId3"/>
    <sheet name="CashFlowPositions" sheetId="4" state="visible" r:id="rId4"/>
    <sheet name="PaymentsData" sheetId="5" state="visible" r:id="rId5"/>
    <sheet name="DepositsData" sheetId="6" state="visible" r:id="rId6"/>
    <sheet name="CashTransactions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MMM DD"/>
    <numFmt numFmtId="166" formatCode="&quot;$&quot;#,##0.00"/>
    <numFmt numFmtId="167" formatCode="YYYY-MM-DD"/>
    <numFmt numFmtId="168" formatCode="0.0%"/>
    <numFmt numFmtId="169" formatCode="yyyy-mm-dd h:mm:ss"/>
  </numFmts>
  <fonts count="28">
    <font>
      <name val="Calibri"/>
      <family val="2"/>
      <color theme="1"/>
      <sz val="11"/>
      <scheme val="minor"/>
    </font>
    <font>
      <name val="Calibri"/>
      <b val="1"/>
      <color rgb="001D1D1F"/>
      <sz val="28"/>
    </font>
    <font>
      <name val="Calibri"/>
      <b val="1"/>
      <color rgb="0086868B"/>
      <sz val="12"/>
    </font>
    <font>
      <name val="Calibri"/>
      <color rgb="0086868B"/>
      <sz val="9"/>
    </font>
    <font>
      <name val="Calibri"/>
      <b val="1"/>
      <color rgb="00007AFF"/>
      <sz val="24"/>
    </font>
    <font>
      <name val="Calibri"/>
      <b val="1"/>
      <color rgb="00FF9500"/>
      <sz val="24"/>
    </font>
    <font>
      <name val="Calibri"/>
      <b val="1"/>
      <color rgb="0034C759"/>
      <sz val="24"/>
    </font>
    <font>
      <name val="Calibri"/>
      <b val="1"/>
      <color rgb="00FF3B30"/>
      <sz val="24"/>
    </font>
    <font>
      <name val="Calibri"/>
      <b val="1"/>
      <color rgb="001D1D1F"/>
      <sz val="14"/>
    </font>
    <font>
      <name val="Calibri"/>
      <b val="1"/>
      <color rgb="00FFFFFF"/>
      <sz val="10"/>
    </font>
    <font>
      <name val="Calibri"/>
      <color rgb="001D1D1F"/>
      <sz val="11"/>
    </font>
    <font>
      <name val="Calibri"/>
      <color rgb="00007AFF"/>
      <sz val="11"/>
      <u val="single"/>
    </font>
    <font>
      <name val="Calibri"/>
      <b val="1"/>
      <color rgb="00007AFF"/>
      <sz val="14"/>
    </font>
    <font>
      <name val="Calibri"/>
      <b val="1"/>
      <color rgb="00FFFFFF"/>
      <sz val="11"/>
    </font>
    <font>
      <name val="Calibri"/>
      <b val="1"/>
      <color rgb="001D1D1F"/>
      <sz val="12"/>
    </font>
    <font>
      <name val="Calibri"/>
      <color rgb="0034C759"/>
      <sz val="14"/>
    </font>
    <font>
      <name val="Calibri"/>
      <color rgb="00FF9500"/>
      <sz val="14"/>
    </font>
    <font>
      <name val="Calibri"/>
      <color rgb="00007AFF"/>
      <sz val="14"/>
    </font>
    <font>
      <name val="Calibri"/>
      <color rgb="00FF3B30"/>
      <sz val="14"/>
    </font>
    <font>
      <name val="Calibri"/>
      <color rgb="0086868B"/>
      <sz val="14"/>
    </font>
    <font>
      <name val="Calibri"/>
      <color rgb="00FF3B30"/>
      <sz val="11"/>
    </font>
    <font>
      <name val="Calibri"/>
      <b val="1"/>
      <color rgb="0034C759"/>
      <sz val="20"/>
    </font>
    <font>
      <name val="Calibri"/>
      <b val="1"/>
      <color rgb="00007AFF"/>
      <sz val="20"/>
    </font>
    <font>
      <name val="Calibri"/>
      <b val="1"/>
      <color rgb="005AC8FA"/>
      <sz val="20"/>
    </font>
    <font>
      <name val="Calibri"/>
      <b val="1"/>
      <color rgb="00FF9500"/>
      <sz val="20"/>
    </font>
    <font>
      <name val="Calibri"/>
      <b val="1"/>
      <color rgb="0086868B"/>
      <sz val="10"/>
    </font>
    <font>
      <name val="Calibri"/>
      <b val="1"/>
      <sz val="11"/>
    </font>
    <font>
      <name val="Calibri"/>
      <b val="1"/>
      <color rgb="00007AFF"/>
      <sz val="11"/>
    </font>
  </fonts>
  <fills count="11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07AFF"/>
        <bgColor rgb="00007AFF"/>
      </patternFill>
    </fill>
    <fill>
      <patternFill patternType="solid">
        <fgColor rgb="0034C759"/>
        <bgColor rgb="0034C759"/>
      </patternFill>
    </fill>
    <fill>
      <patternFill patternType="solid">
        <fgColor rgb="0086868B"/>
        <bgColor rgb="0086868B"/>
      </patternFill>
    </fill>
    <fill>
      <patternFill patternType="solid">
        <fgColor rgb="00F5F5F7"/>
        <bgColor rgb="00F5F5F7"/>
      </patternFill>
    </fill>
    <fill>
      <patternFill patternType="solid">
        <fgColor rgb="00E3F2FD"/>
        <bgColor rgb="00E3F2FD"/>
      </patternFill>
    </fill>
    <fill>
      <patternFill patternType="solid">
        <fgColor rgb="005AC8FA"/>
        <bgColor rgb="005AC8FA"/>
      </patternFill>
    </fill>
    <fill>
      <patternFill patternType="solid">
        <fgColor rgb="00AF52DE"/>
        <bgColor rgb="00AF52DE"/>
      </patternFill>
    </fill>
    <fill>
      <patternFill patternType="solid">
        <fgColor rgb="00FF9500"/>
        <bgColor rgb="00FF9500"/>
      </patternFill>
    </fill>
  </fills>
  <borders count="26">
    <border>
      <left/>
      <right/>
      <top/>
      <bottom/>
      <diagonal/>
    </border>
    <border>
      <left style="medium">
        <color rgb="00F5F5F7"/>
      </left>
      <right style="thin">
        <color rgb="00F5F5F7"/>
      </right>
      <top style="medium">
        <color rgb="00F5F5F7"/>
      </top>
      <bottom style="thin">
        <color rgb="00F5F5F7"/>
      </bottom>
    </border>
    <border>
      <left style="thin">
        <color rgb="00F5F5F7"/>
      </left>
      <right style="medium">
        <color rgb="00F5F5F7"/>
      </right>
      <top style="medium">
        <color rgb="00F5F5F7"/>
      </top>
      <bottom style="thin">
        <color rgb="00F5F5F7"/>
      </bottom>
    </border>
    <border>
      <left style="medium">
        <color rgb="00F5F5F7"/>
      </left>
      <right style="thin">
        <color rgb="00F5F5F7"/>
      </right>
      <top style="thin">
        <color rgb="00F5F5F7"/>
      </top>
      <bottom style="thin">
        <color rgb="00F5F5F7"/>
      </bottom>
    </border>
    <border>
      <left style="thin">
        <color rgb="00F5F5F7"/>
      </left>
      <right style="medium">
        <color rgb="00F5F5F7"/>
      </right>
      <top style="thin">
        <color rgb="00F5F5F7"/>
      </top>
      <bottom style="thin">
        <color rgb="00F5F5F7"/>
      </bottom>
    </border>
    <border>
      <left style="medium">
        <color rgb="00F5F5F7"/>
      </left>
      <right style="thin">
        <color rgb="00F5F5F7"/>
      </right>
      <top style="thin">
        <color rgb="00F5F5F7"/>
      </top>
      <bottom style="medium">
        <color rgb="00F5F5F7"/>
      </bottom>
    </border>
    <border>
      <left style="thin">
        <color rgb="00F5F5F7"/>
      </left>
      <right style="medium">
        <color rgb="00F5F5F7"/>
      </right>
      <top style="thin">
        <color rgb="00F5F5F7"/>
      </top>
      <bottom style="medium">
        <color rgb="00F5F5F7"/>
      </bottom>
    </border>
    <border>
      <left/>
      <right/>
      <top style="medium">
        <color rgb="00F5F5F7"/>
      </top>
      <bottom/>
      <diagonal/>
    </border>
    <border>
      <left/>
      <right style="thin">
        <color rgb="00F5F5F7"/>
      </right>
      <top style="medium">
        <color rgb="00F5F5F7"/>
      </top>
      <bottom/>
      <diagonal/>
    </border>
    <border>
      <left/>
      <right style="thin">
        <color rgb="00F5F5F7"/>
      </right>
      <top style="medium">
        <color rgb="00F5F5F7"/>
      </top>
      <bottom style="thin">
        <color rgb="00F5F5F7"/>
      </bottom>
      <diagonal/>
    </border>
    <border>
      <left/>
      <right/>
      <top style="thin">
        <color rgb="00F5F5F7"/>
      </top>
      <bottom/>
      <diagonal/>
    </border>
    <border>
      <left style="medium">
        <color rgb="00F5F5F7"/>
      </left>
      <right/>
      <top/>
      <bottom/>
      <diagonal/>
    </border>
    <border>
      <left/>
      <right style="thin">
        <color rgb="00F5F5F7"/>
      </right>
      <top style="thin">
        <color rgb="00F5F5F7"/>
      </top>
      <bottom/>
      <diagonal/>
    </border>
    <border>
      <left/>
      <right style="thin">
        <color rgb="00F5F5F7"/>
      </right>
      <top/>
      <bottom/>
      <diagonal/>
    </border>
    <border>
      <left style="medium">
        <color rgb="00F5F5F7"/>
      </left>
      <right/>
      <top/>
      <bottom style="thin">
        <color rgb="00F5F5F7"/>
      </bottom>
      <diagonal/>
    </border>
    <border>
      <left/>
      <right style="thin">
        <color rgb="00F5F5F7"/>
      </right>
      <top/>
      <bottom style="thin">
        <color rgb="00F5F5F7"/>
      </bottom>
      <diagonal/>
    </border>
    <border>
      <left style="medium">
        <color rgb="00F5F5F7"/>
      </left>
      <right style="medium">
        <color rgb="00F5F5F7"/>
      </right>
      <top style="medium">
        <color rgb="00F5F5F7"/>
      </top>
      <bottom style="thin">
        <color rgb="00F5F5F7"/>
      </bottom>
    </border>
    <border>
      <left style="medium">
        <color rgb="00F5F5F7"/>
      </left>
      <right style="medium">
        <color rgb="00F5F5F7"/>
      </right>
      <top style="thin">
        <color rgb="00F5F5F7"/>
      </top>
      <bottom style="thin">
        <color rgb="00F5F5F7"/>
      </bottom>
    </border>
    <border>
      <left style="medium">
        <color rgb="00F5F5F7"/>
      </left>
      <right style="medium">
        <color rgb="00F5F5F7"/>
      </right>
      <top style="thin">
        <color rgb="00F5F5F7"/>
      </top>
      <bottom style="medium">
        <color rgb="00F5F5F7"/>
      </bottom>
    </border>
    <border>
      <left style="medium">
        <color rgb="00F5F5F7"/>
      </left>
      <right style="medium">
        <color rgb="00F5F5F7"/>
      </right>
      <top/>
      <bottom/>
      <diagonal/>
    </border>
    <border>
      <left style="medium">
        <color rgb="00F5F5F7"/>
      </left>
      <right style="medium">
        <color rgb="00F5F5F7"/>
      </right>
      <top/>
      <bottom style="thin">
        <color rgb="00F5F5F7"/>
      </bottom>
      <diagonal/>
    </border>
    <border>
      <left style="thin">
        <color rgb="00F5F5F7"/>
      </left>
      <right style="thin">
        <color rgb="00F5F5F7"/>
      </right>
      <top style="thin">
        <color rgb="00F5F5F7"/>
      </top>
      <bottom style="thin">
        <color rgb="00F5F5F7"/>
      </bottom>
    </border>
    <border>
      <left style="thin">
        <color rgb="00F5F5F7"/>
      </left>
      <right style="thin">
        <color rgb="00F5F5F7"/>
      </right>
      <top style="thin">
        <color rgb="00F5F5F7"/>
      </top>
    </border>
    <border>
      <left style="thin">
        <color rgb="00F5F5F7"/>
      </left>
      <right style="thin">
        <color rgb="00F5F5F7"/>
      </right>
    </border>
    <border>
      <left style="thin">
        <color rgb="00F5F5F7"/>
      </left>
      <right style="thin">
        <color rgb="00F5F5F7"/>
      </right>
      <bottom style="thin">
        <color rgb="00F5F5F7"/>
      </bottom>
    </border>
    <border>
      <left/>
      <right style="thin">
        <color rgb="00F5F5F7"/>
      </right>
      <top style="thin">
        <color rgb="00F5F5F7"/>
      </top>
      <bottom style="thin">
        <color rgb="00F5F5F7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9" pivotButton="0" quotePrefix="0" xfId="0"/>
    <xf numFmtId="0" fontId="3" fillId="2" borderId="16" pivotButton="0" quotePrefix="0" xfId="0"/>
    <xf numFmtId="164" fontId="4" fillId="2" borderId="3" pivotButton="0" quotePrefix="0" xfId="0"/>
    <xf numFmtId="0" fontId="0" fillId="0" borderId="12" pivotButton="0" quotePrefix="0" xfId="0"/>
    <xf numFmtId="164" fontId="5" fillId="2" borderId="3" pivotButton="0" quotePrefix="0" xfId="0"/>
    <xf numFmtId="164" fontId="6" fillId="2" borderId="3" pivotButton="0" quotePrefix="0" xfId="0"/>
    <xf numFmtId="0" fontId="7" fillId="2" borderId="17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0" pivotButton="0" quotePrefix="0" xfId="0"/>
    <xf numFmtId="0" fontId="3" fillId="2" borderId="5" pivotButton="0" quotePrefix="0" xfId="0"/>
    <xf numFmtId="0" fontId="0" fillId="2" borderId="6" pivotButton="0" quotePrefix="0" xfId="0"/>
    <xf numFmtId="0" fontId="3" fillId="2" borderId="18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165" fontId="10" fillId="0" borderId="21" pivotButton="0" quotePrefix="0" xfId="0"/>
    <xf numFmtId="0" fontId="10" fillId="0" borderId="21" pivotButton="0" quotePrefix="0" xfId="0"/>
    <xf numFmtId="166" fontId="10" fillId="0" borderId="21" pivotButton="0" quotePrefix="0" xfId="0"/>
    <xf numFmtId="164" fontId="10" fillId="0" borderId="21" pivotButton="0" quotePrefix="0" xfId="0"/>
    <xf numFmtId="0" fontId="9" fillId="5" borderId="0" applyAlignment="1" pivotButton="0" quotePrefix="0" xfId="0">
      <alignment horizontal="center" vertical="center" wrapText="1"/>
    </xf>
    <xf numFmtId="164" fontId="0" fillId="0" borderId="21" pivotButton="0" quotePrefix="0" xfId="0"/>
    <xf numFmtId="0" fontId="1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2" fillId="0" borderId="0" pivotButton="0" quotePrefix="0" xfId="0"/>
    <xf numFmtId="0" fontId="13" fillId="3" borderId="21" applyAlignment="1" pivotButton="0" quotePrefix="0" xfId="0">
      <alignment horizontal="center" vertical="center" wrapText="1"/>
    </xf>
    <xf numFmtId="0" fontId="0" fillId="6" borderId="22" pivotButton="0" quotePrefix="0" xfId="0"/>
    <xf numFmtId="0" fontId="14" fillId="0" borderId="22" applyAlignment="1" pivotButton="0" quotePrefix="0" xfId="0">
      <alignment horizontal="right" vertical="top"/>
    </xf>
    <xf numFmtId="0" fontId="0" fillId="6" borderId="23" pivotButton="0" quotePrefix="0" xfId="0"/>
    <xf numFmtId="0" fontId="3" fillId="0" borderId="23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6" borderId="24" pivotButton="0" quotePrefix="0" xfId="0"/>
    <xf numFmtId="0" fontId="0" fillId="0" borderId="24" pivotButton="0" quotePrefix="0" xfId="0"/>
    <xf numFmtId="0" fontId="18" fillId="0" borderId="0" applyAlignment="1" pivotButton="0" quotePrefix="0" xfId="0">
      <alignment horizontal="center" vertical="center"/>
    </xf>
    <xf numFmtId="0" fontId="14" fillId="7" borderId="22" applyAlignment="1" pivotButton="0" quotePrefix="0" xfId="0">
      <alignment horizontal="right" vertical="top"/>
    </xf>
    <xf numFmtId="0" fontId="19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20" fillId="0" borderId="0" pivotButton="0" quotePrefix="0" xfId="0"/>
    <xf numFmtId="0" fontId="0" fillId="2" borderId="2" pivotButton="0" quotePrefix="0" xfId="0"/>
    <xf numFmtId="164" fontId="21" fillId="2" borderId="3" pivotButton="0" quotePrefix="0" xfId="0"/>
    <xf numFmtId="0" fontId="0" fillId="0" borderId="25" pivotButton="0" quotePrefix="0" xfId="0"/>
    <xf numFmtId="10" fontId="22" fillId="2" borderId="3" pivotButton="0" quotePrefix="0" xfId="0"/>
    <xf numFmtId="164" fontId="23" fillId="2" borderId="3" pivotButton="0" quotePrefix="0" xfId="0"/>
    <xf numFmtId="164" fontId="24" fillId="2" borderId="3" pivotButton="0" quotePrefix="0" xfId="0"/>
    <xf numFmtId="0" fontId="0" fillId="2" borderId="5" pivotButton="0" quotePrefix="0" xfId="0"/>
    <xf numFmtId="0" fontId="9" fillId="4" borderId="21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166" fontId="10" fillId="0" borderId="21" applyAlignment="1" pivotButton="0" quotePrefix="0" xfId="0">
      <alignment horizontal="center" vertical="center" wrapText="1"/>
    </xf>
    <xf numFmtId="10" fontId="10" fillId="0" borderId="21" applyAlignment="1" pivotButton="0" quotePrefix="0" xfId="0">
      <alignment horizontal="center" vertical="center" wrapText="1"/>
    </xf>
    <xf numFmtId="167" fontId="10" fillId="0" borderId="21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center" vertical="center" wrapText="1"/>
    </xf>
    <xf numFmtId="0" fontId="0" fillId="0" borderId="21" pivotButton="0" quotePrefix="0" xfId="0"/>
    <xf numFmtId="168" fontId="0" fillId="0" borderId="21" pivotButton="0" quotePrefix="0" xfId="0"/>
    <xf numFmtId="0" fontId="9" fillId="3" borderId="21" applyAlignment="1" pivotButton="0" quotePrefix="0" xfId="0">
      <alignment horizontal="center" vertical="center" wrapText="1"/>
    </xf>
    <xf numFmtId="0" fontId="9" fillId="8" borderId="21" applyAlignment="1" pivotButton="0" quotePrefix="0" xfId="0">
      <alignment horizontal="center" vertical="center" wrapText="1"/>
    </xf>
    <xf numFmtId="165" fontId="10" fillId="7" borderId="21" pivotButton="0" quotePrefix="0" xfId="0"/>
    <xf numFmtId="0" fontId="10" fillId="7" borderId="21" pivotButton="0" quotePrefix="0" xfId="0"/>
    <xf numFmtId="164" fontId="10" fillId="7" borderId="21" pivotButton="0" quotePrefix="0" xfId="0"/>
    <xf numFmtId="0" fontId="9" fillId="9" borderId="21" applyAlignment="1" pivotButton="0" quotePrefix="0" xfId="0">
      <alignment horizontal="center" vertical="center" wrapText="1"/>
    </xf>
    <xf numFmtId="0" fontId="9" fillId="10" borderId="21" applyAlignment="1" pivotButton="0" quotePrefix="0" xfId="0">
      <alignment horizontal="center" vertical="center" wrapText="1"/>
    </xf>
    <xf numFmtId="167" fontId="10" fillId="0" borderId="21" pivotButton="0" quotePrefix="0" xfId="0"/>
    <xf numFmtId="0" fontId="13" fillId="4" borderId="21" applyAlignment="1" pivotButton="0" quotePrefix="0" xfId="0">
      <alignment horizontal="center" vertical="center" wrapText="1"/>
    </xf>
    <xf numFmtId="10" fontId="10" fillId="0" borderId="21" pivotButton="0" quotePrefix="0" xfId="0"/>
    <xf numFmtId="0" fontId="13" fillId="5" borderId="21" applyAlignment="1" pivotButton="0" quotePrefix="0" xfId="0">
      <alignment horizontal="center" vertical="center" wrapText="1"/>
    </xf>
    <xf numFmtId="166" fontId="0" fillId="0" borderId="21" pivotButton="0" quotePrefix="0" xfId="0"/>
    <xf numFmtId="0" fontId="10" fillId="6" borderId="0" pivotButton="0" quotePrefix="0" xfId="0"/>
    <xf numFmtId="0" fontId="26" fillId="0" borderId="0" pivotButton="0" quotePrefix="0" xfId="0"/>
    <xf numFmtId="0" fontId="3" fillId="0" borderId="0" pivotButton="0" quotePrefix="0" xfId="0"/>
    <xf numFmtId="0" fontId="27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EBEE"/>
          <bgColor rgb="00FFEBEE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E3F2FD"/>
          <bgColor rgb="00E3F2FD"/>
        </patternFill>
      </fill>
    </dxf>
    <dxf>
      <font>
        <color rgb="0034C759"/>
      </font>
    </dxf>
    <dxf>
      <font>
        <color rgb="00FF3B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aymentCalendar!A1" TargetMode="External" Id="rId1" /><Relationship Type="http://schemas.openxmlformats.org/officeDocument/2006/relationships/hyperlink" Target="TimeDeposits!A1" TargetMode="External" Id="rId2" /><Relationship Type="http://schemas.openxmlformats.org/officeDocument/2006/relationships/hyperlink" Target="CashFlowPositions!A1" TargetMode="External" Id="rId3" /><Relationship Type="http://schemas.openxmlformats.org/officeDocument/2006/relationships/hyperlink" Target="Settings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</cols>
  <sheetData>
    <row r="2">
      <c r="B2" s="1" t="inlineStr">
        <is>
          <t>Cash Management Controller</t>
        </is>
      </c>
    </row>
    <row r="3">
      <c r="B3" s="2" t="inlineStr">
        <is>
          <t>Dashboard Overview • December 12, 2025</t>
        </is>
      </c>
    </row>
    <row r="5">
      <c r="B5" s="3" t="inlineStr">
        <is>
          <t>Total Cash Position</t>
        </is>
      </c>
      <c r="C5" s="4" t="n"/>
      <c r="D5" s="3" t="inlineStr">
        <is>
          <t>Pending Payments</t>
        </is>
      </c>
      <c r="E5" s="4" t="n"/>
      <c r="F5" s="3" t="inlineStr">
        <is>
          <t>Active Time Deposits</t>
        </is>
      </c>
      <c r="G5" s="4" t="n"/>
      <c r="H5" s="5" t="inlineStr">
        <is>
          <t>Overdue</t>
        </is>
      </c>
    </row>
    <row r="6">
      <c r="B6" s="6">
        <f>CashTransactions!J2</f>
        <v/>
      </c>
      <c r="C6" s="7" t="n"/>
      <c r="D6" s="8">
        <f>LET(status,PaymentsData!F:F,amounts,PaymentsData!D:D,SUMIF(status,"Pending",amounts))</f>
        <v/>
      </c>
      <c r="E6" s="7" t="n"/>
      <c r="F6" s="9">
        <f>LET(status,DepositsData!G:G,principal,DepositsData!D:D,SUMIF(status,"Active",principal))</f>
        <v/>
      </c>
      <c r="G6" s="7" t="n"/>
      <c r="H6" s="10">
        <f>COUNTIF(PaymentsData!F:F,"Overdue")</f>
        <v/>
      </c>
    </row>
    <row r="7">
      <c r="B7" s="11" t="n"/>
      <c r="C7" s="12" t="n"/>
      <c r="D7" s="11" t="n"/>
      <c r="E7" s="12" t="n"/>
      <c r="F7" s="11" t="n"/>
      <c r="G7" s="12" t="n"/>
      <c r="H7" s="13" t="n"/>
    </row>
    <row r="8">
      <c r="B8" s="14" t="inlineStr">
        <is>
          <t>Current Balance</t>
        </is>
      </c>
      <c r="C8" s="15" t="n"/>
      <c r="D8" s="14">
        <f>LET(status,PaymentsData!F:F,COUNTIF(status,"Pending")&amp;" payments")</f>
        <v/>
      </c>
      <c r="E8" s="15" t="n"/>
      <c r="F8" s="14">
        <f>LET(status,DepositsData!G:G,COUNTIF(status,"Active")&amp;" deposits")</f>
        <v/>
      </c>
      <c r="G8" s="15" t="n"/>
      <c r="H8" s="16" t="inlineStr">
        <is>
          <t>Items</t>
        </is>
      </c>
    </row>
    <row r="10">
      <c r="B10" s="17" t="inlineStr">
        <is>
          <t>Upcoming Payments (Next 7 Days)</t>
        </is>
      </c>
      <c r="G10" s="17" t="inlineStr">
        <is>
          <t>Maturing Deposits (Next 30 Days)</t>
        </is>
      </c>
    </row>
    <row r="11">
      <c r="B11" s="18" t="inlineStr">
        <is>
          <t>Date</t>
        </is>
      </c>
      <c r="C11" s="18" t="inlineStr">
        <is>
          <t>Payee</t>
        </is>
      </c>
      <c r="D11" s="18" t="inlineStr">
        <is>
          <t>Amount</t>
        </is>
      </c>
      <c r="E11" s="18" t="inlineStr">
        <is>
          <t>Category</t>
        </is>
      </c>
      <c r="F11" s="18" t="inlineStr">
        <is>
          <t>Status</t>
        </is>
      </c>
      <c r="G11" s="19" t="inlineStr">
        <is>
          <t>Maturity</t>
        </is>
      </c>
      <c r="H11" s="19" t="inlineStr">
        <is>
          <t>Amount</t>
        </is>
      </c>
    </row>
    <row r="12">
      <c r="B12" s="20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IFERROR(INDEX(sorted,1,1),"")
)</f>
        <v/>
      </c>
      <c r="C12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IFERROR(INDEX(sorted,1,2),"")
)</f>
        <v/>
      </c>
      <c r="D12" s="22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IFERROR(INDEX(sorted,1,3),"")
)</f>
        <v/>
      </c>
      <c r="E12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IFERROR(INDEX(sorted,1,4),"")
)</f>
        <v/>
      </c>
      <c r="F12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IFERROR(INDEX(sorted,1,5),"")
)</f>
        <v/>
      </c>
      <c r="G12" s="20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IFERROR(INDEX(sorted,1,1),"")
)</f>
        <v/>
      </c>
      <c r="H12" s="23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IFERROR(INDEX(sorted,1,2),"")
)</f>
        <v/>
      </c>
    </row>
    <row r="13">
      <c r="B13" s="20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IFERROR(INDEX(sorted,2,1),"")
)</f>
        <v/>
      </c>
      <c r="C13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IFERROR(INDEX(sorted,2,2),"")
)</f>
        <v/>
      </c>
      <c r="D13" s="22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IFERROR(INDEX(sorted,2,3),"")
)</f>
        <v/>
      </c>
      <c r="E13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IFERROR(INDEX(sorted,2,4),"")
)</f>
        <v/>
      </c>
      <c r="F13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IFERROR(INDEX(sorted,2,5),"")
)</f>
        <v/>
      </c>
      <c r="G13" s="20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IFERROR(INDEX(sorted,2,1),"")
)</f>
        <v/>
      </c>
      <c r="H13" s="23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IFERROR(INDEX(sorted,2,2),"")
)</f>
        <v/>
      </c>
    </row>
    <row r="14">
      <c r="B14" s="20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IFERROR(INDEX(sorted,3,1),"")
)</f>
        <v/>
      </c>
      <c r="C14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IFERROR(INDEX(sorted,3,2),"")
)</f>
        <v/>
      </c>
      <c r="D14" s="22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IFERROR(INDEX(sorted,3,3),"")
)</f>
        <v/>
      </c>
      <c r="E14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IFERROR(INDEX(sorted,3,4),"")
)</f>
        <v/>
      </c>
      <c r="F14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IFERROR(INDEX(sorted,3,5),"")
)</f>
        <v/>
      </c>
      <c r="G14" s="20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IFERROR(INDEX(sorted,3,1),"")
)</f>
        <v/>
      </c>
      <c r="H14" s="23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IFERROR(INDEX(sorted,3,2),"")
)</f>
        <v/>
      </c>
    </row>
    <row r="15">
      <c r="B15" s="20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IFERROR(INDEX(sorted,4,1),"")
)</f>
        <v/>
      </c>
      <c r="C15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IFERROR(INDEX(sorted,4,2),"")
)</f>
        <v/>
      </c>
      <c r="D15" s="22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IFERROR(INDEX(sorted,4,3),"")
)</f>
        <v/>
      </c>
      <c r="E15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IFERROR(INDEX(sorted,4,4),"")
)</f>
        <v/>
      </c>
      <c r="F15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IFERROR(INDEX(sorted,4,5),"")
)</f>
        <v/>
      </c>
      <c r="G15" s="20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IFERROR(INDEX(sorted,4,1),"")
)</f>
        <v/>
      </c>
      <c r="H15" s="23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IFERROR(INDEX(sorted,4,2),"")
)</f>
        <v/>
      </c>
    </row>
    <row r="16">
      <c r="B16" s="20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IFERROR(INDEX(sorted,5,1),"")
)</f>
        <v/>
      </c>
      <c r="C16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IFERROR(INDEX(sorted,5,2),"")
)</f>
        <v/>
      </c>
      <c r="D16" s="22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IFERROR(INDEX(sorted,5,3),"")
)</f>
        <v/>
      </c>
      <c r="E16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IFERROR(INDEX(sorted,5,4),"")
)</f>
        <v/>
      </c>
      <c r="F16" s="21">
        <f>LET(
    dates,PaymentsData!B2:B500,
    payees,PaymentsData!C2:C500,
    amounts,PaymentsData!D2:D500,
    categories,PaymentsData!E2:E500,
    statuses,PaymentsData!F2:F500,
    upcoming,FILTER(HSTACK(dates,payees,amounts,categories,statuses),(dates&gt;=TODAY())*(dates&lt;=TODAY()+7),""),
    sorted,SORT(upcoming,1,1),
    IFERROR(INDEX(sorted,5,5),"")
)</f>
        <v/>
      </c>
      <c r="G16" s="20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IFERROR(INDEX(sorted,5,1),"")
)</f>
        <v/>
      </c>
      <c r="H16" s="23">
        <f>LET(
    maturity,DepositsData!F2:F100,
    principal,DepositsData!D2:D100,
    status,DepositsData!G2:G100,
    maturing,FILTER(HSTACK(maturity,principal),(maturity&gt;=TODAY())*(maturity&lt;=TODAY()+30)*(status="Active"),""),
    sorted,SORT(maturing,1,1),
    IFERROR(INDEX(sorted,5,2),"")
)</f>
        <v/>
      </c>
    </row>
    <row r="19">
      <c r="B19" s="17" t="inlineStr">
        <is>
          <t>Cash Flow Summary</t>
        </is>
      </c>
    </row>
    <row r="20">
      <c r="B20" s="24" t="inlineStr">
        <is>
          <t>Period</t>
        </is>
      </c>
      <c r="C20" s="24" t="inlineStr">
        <is>
          <t>Inflows</t>
        </is>
      </c>
      <c r="D20" s="24" t="inlineStr">
        <is>
          <t>Outflows</t>
        </is>
      </c>
      <c r="E20" s="24" t="inlineStr">
        <is>
          <t>Net Flow</t>
        </is>
      </c>
      <c r="F20" s="24" t="inlineStr">
        <is>
          <t>End Balance</t>
        </is>
      </c>
    </row>
    <row r="21">
      <c r="B21" s="21" t="inlineStr">
        <is>
          <t>Today</t>
        </is>
      </c>
      <c r="C21" s="25">
        <f>CashFlowPositions!D4</f>
        <v/>
      </c>
      <c r="D21" s="25">
        <f>CashFlowPositions!E4</f>
        <v/>
      </c>
      <c r="E21" s="25">
        <f>CashFlowPositions!F4</f>
        <v/>
      </c>
      <c r="F21" s="25">
        <f>CashFlowPositions!G4</f>
        <v/>
      </c>
    </row>
    <row r="22">
      <c r="B22" s="21" t="inlineStr">
        <is>
          <t>This Week</t>
        </is>
      </c>
      <c r="C22" s="25">
        <f>CashFlowPositions!D5</f>
        <v/>
      </c>
      <c r="D22" s="25">
        <f>CashFlowPositions!E5</f>
        <v/>
      </c>
      <c r="E22" s="25">
        <f>CashFlowPositions!F5</f>
        <v/>
      </c>
      <c r="F22" s="25">
        <f>CashFlowPositions!G5</f>
        <v/>
      </c>
    </row>
    <row r="23">
      <c r="B23" s="21" t="inlineStr">
        <is>
          <t>This Month</t>
        </is>
      </c>
      <c r="C23" s="25">
        <f>CashFlowPositions!D6</f>
        <v/>
      </c>
      <c r="D23" s="25">
        <f>CashFlowPositions!E6</f>
        <v/>
      </c>
      <c r="E23" s="25">
        <f>CashFlowPositions!F6</f>
        <v/>
      </c>
      <c r="F23" s="25">
        <f>CashFlowPositions!G6</f>
        <v/>
      </c>
    </row>
    <row r="24">
      <c r="B24" s="21" t="inlineStr">
        <is>
          <t>Next 30 Days</t>
        </is>
      </c>
      <c r="C24" s="25">
        <f>CashFlowPositions!D7</f>
        <v/>
      </c>
      <c r="D24" s="25">
        <f>CashFlowPositions!E7</f>
        <v/>
      </c>
      <c r="E24" s="25">
        <f>CashFlowPositions!F7</f>
        <v/>
      </c>
      <c r="F24" s="25">
        <f>CashFlowPositions!G7</f>
        <v/>
      </c>
    </row>
    <row r="27">
      <c r="B27" s="17" t="inlineStr">
        <is>
          <t>Quick Navigation</t>
        </is>
      </c>
    </row>
    <row r="28">
      <c r="B28" s="26" t="inlineStr">
        <is>
          <t>Payment Calendar</t>
        </is>
      </c>
      <c r="C28" s="26" t="inlineStr">
        <is>
          <t>Time Deposits</t>
        </is>
      </c>
      <c r="D28" s="26" t="inlineStr">
        <is>
          <t>Cash Flow Positions</t>
        </is>
      </c>
      <c r="E28" s="26" t="inlineStr">
        <is>
          <t>Settings</t>
        </is>
      </c>
    </row>
  </sheetData>
  <mergeCells count="10">
    <mergeCell ref="B5:C5"/>
    <mergeCell ref="G10:H10"/>
    <mergeCell ref="F5:G5"/>
    <mergeCell ref="D5:E5"/>
    <mergeCell ref="H6:H7"/>
    <mergeCell ref="D6:E7"/>
    <mergeCell ref="B2:H2"/>
    <mergeCell ref="B6:C7"/>
    <mergeCell ref="F6:G7"/>
    <mergeCell ref="B3:H3"/>
  </mergeCells>
  <conditionalFormatting sqref="E21:E24">
    <cfRule type="expression" priority="1" dxfId="0">
      <formula>E21&gt;=0</formula>
    </cfRule>
    <cfRule type="expression" priority="2" dxfId="1">
      <formula>E21&lt;0</formula>
    </cfRule>
  </conditionalFormatting>
  <hyperlinks>
    <hyperlink xmlns:r="http://schemas.openxmlformats.org/officeDocument/2006/relationships" ref="B28" r:id="rId1"/>
    <hyperlink xmlns:r="http://schemas.openxmlformats.org/officeDocument/2006/relationships" ref="C28" r:id="rId2"/>
    <hyperlink xmlns:r="http://schemas.openxmlformats.org/officeDocument/2006/relationships" ref="D28" r:id="rId3"/>
    <hyperlink xmlns:r="http://schemas.openxmlformats.org/officeDocument/2006/relationships" ref="E2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  <col width="25" customWidth="1" min="10" max="10"/>
    <col width="18" customWidth="1" min="11" max="11"/>
  </cols>
  <sheetData>
    <row r="1" ht="18" customHeight="1"/>
    <row r="2" ht="18" customHeight="1">
      <c r="B2" s="27" t="inlineStr">
        <is>
          <t>Payment Calendar</t>
        </is>
      </c>
    </row>
    <row r="3" ht="18" customHeight="1"/>
    <row r="4" ht="18" customHeight="1">
      <c r="B4" s="2" t="inlineStr">
        <is>
          <t>Selected Month:</t>
        </is>
      </c>
      <c r="C4" s="28" t="inlineStr">
        <is>
          <t>December 2025</t>
        </is>
      </c>
    </row>
    <row r="5" ht="18" customHeight="1"/>
    <row r="6" ht="18" customHeight="1">
      <c r="B6" s="29" t="inlineStr">
        <is>
          <t>Sunday</t>
        </is>
      </c>
      <c r="C6" s="29" t="inlineStr">
        <is>
          <t>Monday</t>
        </is>
      </c>
      <c r="D6" s="29" t="inlineStr">
        <is>
          <t>Tuesday</t>
        </is>
      </c>
      <c r="E6" s="29" t="inlineStr">
        <is>
          <t>Wednesday</t>
        </is>
      </c>
      <c r="F6" s="29" t="inlineStr">
        <is>
          <t>Thursday</t>
        </is>
      </c>
      <c r="G6" s="29" t="inlineStr">
        <is>
          <t>Friday</t>
        </is>
      </c>
      <c r="H6" s="29" t="inlineStr">
        <is>
          <t>Saturday</t>
        </is>
      </c>
    </row>
    <row r="7" ht="18" customHeight="1">
      <c r="B7" s="30" t="n"/>
      <c r="C7" s="31" t="n">
        <v>1</v>
      </c>
      <c r="D7" s="31" t="n">
        <v>2</v>
      </c>
      <c r="E7" s="31" t="n">
        <v>3</v>
      </c>
      <c r="F7" s="31" t="n">
        <v>4</v>
      </c>
      <c r="G7" s="31" t="n">
        <v>5</v>
      </c>
      <c r="H7" s="31" t="n">
        <v>6</v>
      </c>
      <c r="J7" s="17" t="inlineStr">
        <is>
          <t>Status Legend</t>
        </is>
      </c>
    </row>
    <row r="8" ht="18" customHeight="1">
      <c r="B8" s="32" t="n"/>
      <c r="C8" s="33">
        <f>LET(
    dates,PaymentsData!B2:B500,
    payees,PaymentsData!C2:C500,
    amounts,PaymentsData!D2:D500,
    dayPayments,FILTER(HSTACK(payees,amounts),DAY(dates)=1,""),
    IFERROR(INDEX(dayPayments,1,1)&amp;" $"&amp;TEXT(INDEX(dayPayments,1,2),"#,##0"),"")
)</f>
        <v/>
      </c>
      <c r="D8" s="33">
        <f>LET(
    dates,PaymentsData!B2:B500,
    payees,PaymentsData!C2:C500,
    amounts,PaymentsData!D2:D500,
    dayPayments,FILTER(HSTACK(payees,amounts),DAY(dates)=2,""),
    IFERROR(INDEX(dayPayments,1,1)&amp;" $"&amp;TEXT(INDEX(dayPayments,1,2),"#,##0"),"")
)</f>
        <v/>
      </c>
      <c r="E8" s="33">
        <f>LET(
    dates,PaymentsData!B2:B500,
    payees,PaymentsData!C2:C500,
    amounts,PaymentsData!D2:D500,
    dayPayments,FILTER(HSTACK(payees,amounts),DAY(dates)=3,""),
    IFERROR(INDEX(dayPayments,1,1)&amp;" $"&amp;TEXT(INDEX(dayPayments,1,2),"#,##0"),"")
)</f>
        <v/>
      </c>
      <c r="F8" s="33">
        <f>LET(
    dates,PaymentsData!B2:B500,
    payees,PaymentsData!C2:C500,
    amounts,PaymentsData!D2:D500,
    dayPayments,FILTER(HSTACK(payees,amounts),DAY(dates)=4,""),
    IFERROR(INDEX(dayPayments,1,1)&amp;" $"&amp;TEXT(INDEX(dayPayments,1,2),"#,##0"),"")
)</f>
        <v/>
      </c>
      <c r="G8" s="33">
        <f>LET(
    dates,PaymentsData!B2:B500,
    payees,PaymentsData!C2:C500,
    amounts,PaymentsData!D2:D500,
    dayPayments,FILTER(HSTACK(payees,amounts),DAY(dates)=5,""),
    IFERROR(INDEX(dayPayments,1,1)&amp;" $"&amp;TEXT(INDEX(dayPayments,1,2),"#,##0"),"")
)</f>
        <v/>
      </c>
      <c r="H8" s="33">
        <f>LET(
    dates,PaymentsData!B2:B500,
    payees,PaymentsData!C2:C500,
    amounts,PaymentsData!D2:D500,
    dayPayments,FILTER(HSTACK(payees,amounts),DAY(dates)=6,""),
    IFERROR(INDEX(dayPayments,1,1)&amp;" $"&amp;TEXT(INDEX(dayPayments,1,2),"#,##0"),"")
)</f>
        <v/>
      </c>
      <c r="J8" s="34" t="inlineStr">
        <is>
          <t>●</t>
        </is>
      </c>
      <c r="K8" s="35" t="inlineStr">
        <is>
          <t>Paid</t>
        </is>
      </c>
    </row>
    <row r="9" ht="18" customHeight="1">
      <c r="B9" s="32" t="n"/>
      <c r="C9" s="33">
        <f>LET(
    dates,PaymentsData!B2:B500,
    payees,PaymentsData!C2:C500,
    amounts,PaymentsData!D2:D500,
    dayPayments,FILTER(HSTACK(payees,amounts),DAY(dates)=1,""),
    IFERROR(INDEX(dayPayments,2,1)&amp;" $"&amp;TEXT(INDEX(dayPayments,2,2),"#,##0"),"")
)</f>
        <v/>
      </c>
      <c r="D9" s="33">
        <f>LET(
    dates,PaymentsData!B2:B500,
    payees,PaymentsData!C2:C500,
    amounts,PaymentsData!D2:D500,
    dayPayments,FILTER(HSTACK(payees,amounts),DAY(dates)=2,""),
    IFERROR(INDEX(dayPayments,2,1)&amp;" $"&amp;TEXT(INDEX(dayPayments,2,2),"#,##0"),"")
)</f>
        <v/>
      </c>
      <c r="E9" s="33">
        <f>LET(
    dates,PaymentsData!B2:B500,
    payees,PaymentsData!C2:C500,
    amounts,PaymentsData!D2:D500,
    dayPayments,FILTER(HSTACK(payees,amounts),DAY(dates)=3,""),
    IFERROR(INDEX(dayPayments,2,1)&amp;" $"&amp;TEXT(INDEX(dayPayments,2,2),"#,##0"),"")
)</f>
        <v/>
      </c>
      <c r="F9" s="33">
        <f>LET(
    dates,PaymentsData!B2:B500,
    payees,PaymentsData!C2:C500,
    amounts,PaymentsData!D2:D500,
    dayPayments,FILTER(HSTACK(payees,amounts),DAY(dates)=4,""),
    IFERROR(INDEX(dayPayments,2,1)&amp;" $"&amp;TEXT(INDEX(dayPayments,2,2),"#,##0"),"")
)</f>
        <v/>
      </c>
      <c r="G9" s="33">
        <f>LET(
    dates,PaymentsData!B2:B500,
    payees,PaymentsData!C2:C500,
    amounts,PaymentsData!D2:D500,
    dayPayments,FILTER(HSTACK(payees,amounts),DAY(dates)=5,""),
    IFERROR(INDEX(dayPayments,2,1)&amp;" $"&amp;TEXT(INDEX(dayPayments,2,2),"#,##0"),"")
)</f>
        <v/>
      </c>
      <c r="H9" s="33">
        <f>LET(
    dates,PaymentsData!B2:B500,
    payees,PaymentsData!C2:C500,
    amounts,PaymentsData!D2:D500,
    dayPayments,FILTER(HSTACK(payees,amounts),DAY(dates)=6,""),
    IFERROR(INDEX(dayPayments,2,1)&amp;" $"&amp;TEXT(INDEX(dayPayments,2,2),"#,##0"),"")
)</f>
        <v/>
      </c>
      <c r="J9" s="36" t="inlineStr">
        <is>
          <t>●</t>
        </is>
      </c>
      <c r="K9" s="35" t="inlineStr">
        <is>
          <t>Pending</t>
        </is>
      </c>
    </row>
    <row r="10" ht="18" customHeight="1">
      <c r="B10" s="32" t="n"/>
      <c r="C10" s="33">
        <f>LET(
    dates,PaymentsData!B2:B500,
    payees,PaymentsData!C2:C500,
    amounts,PaymentsData!D2:D500,
    dayPayments,FILTER(HSTACK(payees,amounts),DAY(dates)=1,""),
    IFERROR(INDEX(dayPayments,3,1)&amp;" $"&amp;TEXT(INDEX(dayPayments,3,2),"#,##0"),"")
)</f>
        <v/>
      </c>
      <c r="D10" s="33">
        <f>LET(
    dates,PaymentsData!B2:B500,
    payees,PaymentsData!C2:C500,
    amounts,PaymentsData!D2:D500,
    dayPayments,FILTER(HSTACK(payees,amounts),DAY(dates)=2,""),
    IFERROR(INDEX(dayPayments,3,1)&amp;" $"&amp;TEXT(INDEX(dayPayments,3,2),"#,##0"),"")
)</f>
        <v/>
      </c>
      <c r="E10" s="33">
        <f>LET(
    dates,PaymentsData!B2:B500,
    payees,PaymentsData!C2:C500,
    amounts,PaymentsData!D2:D500,
    dayPayments,FILTER(HSTACK(payees,amounts),DAY(dates)=3,""),
    IFERROR(INDEX(dayPayments,3,1)&amp;" $"&amp;TEXT(INDEX(dayPayments,3,2),"#,##0"),"")
)</f>
        <v/>
      </c>
      <c r="F10" s="33">
        <f>LET(
    dates,PaymentsData!B2:B500,
    payees,PaymentsData!C2:C500,
    amounts,PaymentsData!D2:D500,
    dayPayments,FILTER(HSTACK(payees,amounts),DAY(dates)=4,""),
    IFERROR(INDEX(dayPayments,3,1)&amp;" $"&amp;TEXT(INDEX(dayPayments,3,2),"#,##0"),"")
)</f>
        <v/>
      </c>
      <c r="G10" s="33">
        <f>LET(
    dates,PaymentsData!B2:B500,
    payees,PaymentsData!C2:C500,
    amounts,PaymentsData!D2:D500,
    dayPayments,FILTER(HSTACK(payees,amounts),DAY(dates)=5,""),
    IFERROR(INDEX(dayPayments,3,1)&amp;" $"&amp;TEXT(INDEX(dayPayments,3,2),"#,##0"),"")
)</f>
        <v/>
      </c>
      <c r="H10" s="33">
        <f>LET(
    dates,PaymentsData!B2:B500,
    payees,PaymentsData!C2:C500,
    amounts,PaymentsData!D2:D500,
    dayPayments,FILTER(HSTACK(payees,amounts),DAY(dates)=6,""),
    IFERROR(INDEX(dayPayments,3,1)&amp;" $"&amp;TEXT(INDEX(dayPayments,3,2),"#,##0"),"")
)</f>
        <v/>
      </c>
      <c r="J10" s="37" t="inlineStr">
        <is>
          <t>●</t>
        </is>
      </c>
      <c r="K10" s="35" t="inlineStr">
        <is>
          <t>Scheduled</t>
        </is>
      </c>
    </row>
    <row r="11" ht="18" customHeight="1">
      <c r="B11" s="38" t="n"/>
      <c r="C11" s="39" t="n"/>
      <c r="D11" s="39" t="n"/>
      <c r="E11" s="39" t="n"/>
      <c r="F11" s="39" t="n"/>
      <c r="G11" s="39" t="n"/>
      <c r="H11" s="39" t="n"/>
      <c r="J11" s="40" t="inlineStr">
        <is>
          <t>●</t>
        </is>
      </c>
      <c r="K11" s="35" t="inlineStr">
        <is>
          <t>Overdue</t>
        </is>
      </c>
    </row>
    <row r="12" ht="18" customHeight="1">
      <c r="B12" s="31" t="n">
        <v>7</v>
      </c>
      <c r="C12" s="31" t="n">
        <v>8</v>
      </c>
      <c r="D12" s="31" t="n">
        <v>9</v>
      </c>
      <c r="E12" s="31" t="n">
        <v>10</v>
      </c>
      <c r="F12" s="31" t="n">
        <v>11</v>
      </c>
      <c r="G12" s="41" t="n">
        <v>12</v>
      </c>
      <c r="H12" s="31" t="n">
        <v>13</v>
      </c>
      <c r="J12" s="42" t="inlineStr">
        <is>
          <t>●</t>
        </is>
      </c>
      <c r="K12" s="35" t="inlineStr">
        <is>
          <t>Cancelled</t>
        </is>
      </c>
    </row>
    <row r="13" ht="18" customHeight="1">
      <c r="B13" s="33">
        <f>LET(
    dates,PaymentsData!B2:B500,
    payees,PaymentsData!C2:C500,
    amounts,PaymentsData!D2:D500,
    dayPayments,FILTER(HSTACK(payees,amounts),DAY(dates)=7,""),
    IFERROR(INDEX(dayPayments,1,1)&amp;" $"&amp;TEXT(INDEX(dayPayments,1,2),"#,##0"),"")
)</f>
        <v/>
      </c>
      <c r="C13" s="33">
        <f>LET(
    dates,PaymentsData!B2:B500,
    payees,PaymentsData!C2:C500,
    amounts,PaymentsData!D2:D500,
    dayPayments,FILTER(HSTACK(payees,amounts),DAY(dates)=8,""),
    IFERROR(INDEX(dayPayments,1,1)&amp;" $"&amp;TEXT(INDEX(dayPayments,1,2),"#,##0"),"")
)</f>
        <v/>
      </c>
      <c r="D13" s="33">
        <f>LET(
    dates,PaymentsData!B2:B500,
    payees,PaymentsData!C2:C500,
    amounts,PaymentsData!D2:D500,
    dayPayments,FILTER(HSTACK(payees,amounts),DAY(dates)=9,""),
    IFERROR(INDEX(dayPayments,1,1)&amp;" $"&amp;TEXT(INDEX(dayPayments,1,2),"#,##0"),"")
)</f>
        <v/>
      </c>
      <c r="E13" s="33">
        <f>LET(
    dates,PaymentsData!B2:B500,
    payees,PaymentsData!C2:C500,
    amounts,PaymentsData!D2:D500,
    dayPayments,FILTER(HSTACK(payees,amounts),DAY(dates)=10,""),
    IFERROR(INDEX(dayPayments,1,1)&amp;" $"&amp;TEXT(INDEX(dayPayments,1,2),"#,##0"),"")
)</f>
        <v/>
      </c>
      <c r="F13" s="33">
        <f>LET(
    dates,PaymentsData!B2:B500,
    payees,PaymentsData!C2:C500,
    amounts,PaymentsData!D2:D500,
    dayPayments,FILTER(HSTACK(payees,amounts),DAY(dates)=11,""),
    IFERROR(INDEX(dayPayments,1,1)&amp;" $"&amp;TEXT(INDEX(dayPayments,1,2),"#,##0"),"")
)</f>
        <v/>
      </c>
      <c r="G13" s="33">
        <f>LET(
    dates,PaymentsData!B2:B500,
    payees,PaymentsData!C2:C500,
    amounts,PaymentsData!D2:D500,
    dayPayments,FILTER(HSTACK(payees,amounts),DAY(dates)=12,""),
    IFERROR(INDEX(dayPayments,1,1)&amp;" $"&amp;TEXT(INDEX(dayPayments,1,2),"#,##0"),"")
)</f>
        <v/>
      </c>
      <c r="H13" s="33">
        <f>LET(
    dates,PaymentsData!B2:B500,
    payees,PaymentsData!C2:C500,
    amounts,PaymentsData!D2:D500,
    dayPayments,FILTER(HSTACK(payees,amounts),DAY(dates)=13,""),
    IFERROR(INDEX(dayPayments,1,1)&amp;" $"&amp;TEXT(INDEX(dayPayments,1,2),"#,##0"),"")
)</f>
        <v/>
      </c>
    </row>
    <row r="14" ht="18" customHeight="1">
      <c r="B14" s="33">
        <f>LET(
    dates,PaymentsData!B2:B500,
    payees,PaymentsData!C2:C500,
    amounts,PaymentsData!D2:D500,
    dayPayments,FILTER(HSTACK(payees,amounts),DAY(dates)=7,""),
    IFERROR(INDEX(dayPayments,2,1)&amp;" $"&amp;TEXT(INDEX(dayPayments,2,2),"#,##0"),"")
)</f>
        <v/>
      </c>
      <c r="C14" s="33">
        <f>LET(
    dates,PaymentsData!B2:B500,
    payees,PaymentsData!C2:C500,
    amounts,PaymentsData!D2:D500,
    dayPayments,FILTER(HSTACK(payees,amounts),DAY(dates)=8,""),
    IFERROR(INDEX(dayPayments,2,1)&amp;" $"&amp;TEXT(INDEX(dayPayments,2,2),"#,##0"),"")
)</f>
        <v/>
      </c>
      <c r="D14" s="33">
        <f>LET(
    dates,PaymentsData!B2:B500,
    payees,PaymentsData!C2:C500,
    amounts,PaymentsData!D2:D500,
    dayPayments,FILTER(HSTACK(payees,amounts),DAY(dates)=9,""),
    IFERROR(INDEX(dayPayments,2,1)&amp;" $"&amp;TEXT(INDEX(dayPayments,2,2),"#,##0"),"")
)</f>
        <v/>
      </c>
      <c r="E14" s="33">
        <f>LET(
    dates,PaymentsData!B2:B500,
    payees,PaymentsData!C2:C500,
    amounts,PaymentsData!D2:D500,
    dayPayments,FILTER(HSTACK(payees,amounts),DAY(dates)=10,""),
    IFERROR(INDEX(dayPayments,2,1)&amp;" $"&amp;TEXT(INDEX(dayPayments,2,2),"#,##0"),"")
)</f>
        <v/>
      </c>
      <c r="F14" s="33">
        <f>LET(
    dates,PaymentsData!B2:B500,
    payees,PaymentsData!C2:C500,
    amounts,PaymentsData!D2:D500,
    dayPayments,FILTER(HSTACK(payees,amounts),DAY(dates)=11,""),
    IFERROR(INDEX(dayPayments,2,1)&amp;" $"&amp;TEXT(INDEX(dayPayments,2,2),"#,##0"),"")
)</f>
        <v/>
      </c>
      <c r="G14" s="33">
        <f>LET(
    dates,PaymentsData!B2:B500,
    payees,PaymentsData!C2:C500,
    amounts,PaymentsData!D2:D500,
    dayPayments,FILTER(HSTACK(payees,amounts),DAY(dates)=12,""),
    IFERROR(INDEX(dayPayments,2,1)&amp;" $"&amp;TEXT(INDEX(dayPayments,2,2),"#,##0"),"")
)</f>
        <v/>
      </c>
      <c r="H14" s="33">
        <f>LET(
    dates,PaymentsData!B2:B500,
    payees,PaymentsData!C2:C500,
    amounts,PaymentsData!D2:D500,
    dayPayments,FILTER(HSTACK(payees,amounts),DAY(dates)=13,""),
    IFERROR(INDEX(dayPayments,2,1)&amp;" $"&amp;TEXT(INDEX(dayPayments,2,2),"#,##0"),"")
)</f>
        <v/>
      </c>
    </row>
    <row r="15" ht="18" customHeight="1">
      <c r="B15" s="33">
        <f>LET(
    dates,PaymentsData!B2:B500,
    payees,PaymentsData!C2:C500,
    amounts,PaymentsData!D2:D500,
    dayPayments,FILTER(HSTACK(payees,amounts),DAY(dates)=7,""),
    IFERROR(INDEX(dayPayments,3,1)&amp;" $"&amp;TEXT(INDEX(dayPayments,3,2),"#,##0"),"")
)</f>
        <v/>
      </c>
      <c r="C15" s="33">
        <f>LET(
    dates,PaymentsData!B2:B500,
    payees,PaymentsData!C2:C500,
    amounts,PaymentsData!D2:D500,
    dayPayments,FILTER(HSTACK(payees,amounts),DAY(dates)=8,""),
    IFERROR(INDEX(dayPayments,3,1)&amp;" $"&amp;TEXT(INDEX(dayPayments,3,2),"#,##0"),"")
)</f>
        <v/>
      </c>
      <c r="D15" s="33">
        <f>LET(
    dates,PaymentsData!B2:B500,
    payees,PaymentsData!C2:C500,
    amounts,PaymentsData!D2:D500,
    dayPayments,FILTER(HSTACK(payees,amounts),DAY(dates)=9,""),
    IFERROR(INDEX(dayPayments,3,1)&amp;" $"&amp;TEXT(INDEX(dayPayments,3,2),"#,##0"),"")
)</f>
        <v/>
      </c>
      <c r="E15" s="33">
        <f>LET(
    dates,PaymentsData!B2:B500,
    payees,PaymentsData!C2:C500,
    amounts,PaymentsData!D2:D500,
    dayPayments,FILTER(HSTACK(payees,amounts),DAY(dates)=10,""),
    IFERROR(INDEX(dayPayments,3,1)&amp;" $"&amp;TEXT(INDEX(dayPayments,3,2),"#,##0"),"")
)</f>
        <v/>
      </c>
      <c r="F15" s="33">
        <f>LET(
    dates,PaymentsData!B2:B500,
    payees,PaymentsData!C2:C500,
    amounts,PaymentsData!D2:D500,
    dayPayments,FILTER(HSTACK(payees,amounts),DAY(dates)=11,""),
    IFERROR(INDEX(dayPayments,3,1)&amp;" $"&amp;TEXT(INDEX(dayPayments,3,2),"#,##0"),"")
)</f>
        <v/>
      </c>
      <c r="G15" s="33">
        <f>LET(
    dates,PaymentsData!B2:B500,
    payees,PaymentsData!C2:C500,
    amounts,PaymentsData!D2:D500,
    dayPayments,FILTER(HSTACK(payees,amounts),DAY(dates)=12,""),
    IFERROR(INDEX(dayPayments,3,1)&amp;" $"&amp;TEXT(INDEX(dayPayments,3,2),"#,##0"),"")
)</f>
        <v/>
      </c>
      <c r="H15" s="33">
        <f>LET(
    dates,PaymentsData!B2:B500,
    payees,PaymentsData!C2:C500,
    amounts,PaymentsData!D2:D500,
    dayPayments,FILTER(HSTACK(payees,amounts),DAY(dates)=13,""),
    IFERROR(INDEX(dayPayments,3,1)&amp;" $"&amp;TEXT(INDEX(dayPayments,3,2),"#,##0"),"")
)</f>
        <v/>
      </c>
      <c r="J15" s="17" t="inlineStr">
        <is>
          <t>Monthly Totals</t>
        </is>
      </c>
    </row>
    <row r="16" ht="18" customHeight="1">
      <c r="B16" s="39" t="n"/>
      <c r="C16" s="39" t="n"/>
      <c r="D16" s="39" t="n"/>
      <c r="E16" s="39" t="n"/>
      <c r="F16" s="39" t="n"/>
      <c r="G16" s="39" t="n"/>
      <c r="H16" s="39" t="n"/>
      <c r="J16" s="35" t="inlineStr">
        <is>
          <t>Scheduled:</t>
        </is>
      </c>
      <c r="K16" s="43">
        <f>LET(s,PaymentsData!F:F,a,PaymentsData!D:D,SUMIF(s,"Scheduled",a))</f>
        <v/>
      </c>
    </row>
    <row r="17" ht="18" customHeight="1">
      <c r="B17" s="31" t="n">
        <v>14</v>
      </c>
      <c r="C17" s="31" t="n">
        <v>15</v>
      </c>
      <c r="D17" s="31" t="n">
        <v>16</v>
      </c>
      <c r="E17" s="31" t="n">
        <v>17</v>
      </c>
      <c r="F17" s="31" t="n">
        <v>18</v>
      </c>
      <c r="G17" s="31" t="n">
        <v>19</v>
      </c>
      <c r="H17" s="31" t="n">
        <v>20</v>
      </c>
      <c r="J17" s="35" t="inlineStr">
        <is>
          <t>Pending:</t>
        </is>
      </c>
      <c r="K17" s="43">
        <f>LET(s,PaymentsData!F:F,a,PaymentsData!D:D,SUMIF(s,"Pending",a))</f>
        <v/>
      </c>
    </row>
    <row r="18" ht="18" customHeight="1">
      <c r="B18" s="33">
        <f>LET(
    dates,PaymentsData!B2:B500,
    payees,PaymentsData!C2:C500,
    amounts,PaymentsData!D2:D500,
    dayPayments,FILTER(HSTACK(payees,amounts),DAY(dates)=14,""),
    IFERROR(INDEX(dayPayments,1,1)&amp;" $"&amp;TEXT(INDEX(dayPayments,1,2),"#,##0"),"")
)</f>
        <v/>
      </c>
      <c r="C18" s="33">
        <f>LET(
    dates,PaymentsData!B2:B500,
    payees,PaymentsData!C2:C500,
    amounts,PaymentsData!D2:D500,
    dayPayments,FILTER(HSTACK(payees,amounts),DAY(dates)=15,""),
    IFERROR(INDEX(dayPayments,1,1)&amp;" $"&amp;TEXT(INDEX(dayPayments,1,2),"#,##0"),"")
)</f>
        <v/>
      </c>
      <c r="D18" s="33">
        <f>LET(
    dates,PaymentsData!B2:B500,
    payees,PaymentsData!C2:C500,
    amounts,PaymentsData!D2:D500,
    dayPayments,FILTER(HSTACK(payees,amounts),DAY(dates)=16,""),
    IFERROR(INDEX(dayPayments,1,1)&amp;" $"&amp;TEXT(INDEX(dayPayments,1,2),"#,##0"),"")
)</f>
        <v/>
      </c>
      <c r="E18" s="33">
        <f>LET(
    dates,PaymentsData!B2:B500,
    payees,PaymentsData!C2:C500,
    amounts,PaymentsData!D2:D500,
    dayPayments,FILTER(HSTACK(payees,amounts),DAY(dates)=17,""),
    IFERROR(INDEX(dayPayments,1,1)&amp;" $"&amp;TEXT(INDEX(dayPayments,1,2),"#,##0"),"")
)</f>
        <v/>
      </c>
      <c r="F18" s="33">
        <f>LET(
    dates,PaymentsData!B2:B500,
    payees,PaymentsData!C2:C500,
    amounts,PaymentsData!D2:D500,
    dayPayments,FILTER(HSTACK(payees,amounts),DAY(dates)=18,""),
    IFERROR(INDEX(dayPayments,1,1)&amp;" $"&amp;TEXT(INDEX(dayPayments,1,2),"#,##0"),"")
)</f>
        <v/>
      </c>
      <c r="G18" s="33">
        <f>LET(
    dates,PaymentsData!B2:B500,
    payees,PaymentsData!C2:C500,
    amounts,PaymentsData!D2:D500,
    dayPayments,FILTER(HSTACK(payees,amounts),DAY(dates)=19,""),
    IFERROR(INDEX(dayPayments,1,1)&amp;" $"&amp;TEXT(INDEX(dayPayments,1,2),"#,##0"),"")
)</f>
        <v/>
      </c>
      <c r="H18" s="33">
        <f>LET(
    dates,PaymentsData!B2:B500,
    payees,PaymentsData!C2:C500,
    amounts,PaymentsData!D2:D500,
    dayPayments,FILTER(HSTACK(payees,amounts),DAY(dates)=20,""),
    IFERROR(INDEX(dayPayments,1,1)&amp;" $"&amp;TEXT(INDEX(dayPayments,1,2),"#,##0"),"")
)</f>
        <v/>
      </c>
      <c r="J18" s="35" t="inlineStr">
        <is>
          <t>Paid:</t>
        </is>
      </c>
      <c r="K18" s="43">
        <f>LET(s,PaymentsData!F:F,a,PaymentsData!D:D,SUMIF(s,"Paid",a))</f>
        <v/>
      </c>
    </row>
    <row r="19" ht="18" customHeight="1">
      <c r="B19" s="33">
        <f>LET(
    dates,PaymentsData!B2:B500,
    payees,PaymentsData!C2:C500,
    amounts,PaymentsData!D2:D500,
    dayPayments,FILTER(HSTACK(payees,amounts),DAY(dates)=14,""),
    IFERROR(INDEX(dayPayments,2,1)&amp;" $"&amp;TEXT(INDEX(dayPayments,2,2),"#,##0"),"")
)</f>
        <v/>
      </c>
      <c r="C19" s="33">
        <f>LET(
    dates,PaymentsData!B2:B500,
    payees,PaymentsData!C2:C500,
    amounts,PaymentsData!D2:D500,
    dayPayments,FILTER(HSTACK(payees,amounts),DAY(dates)=15,""),
    IFERROR(INDEX(dayPayments,2,1)&amp;" $"&amp;TEXT(INDEX(dayPayments,2,2),"#,##0"),"")
)</f>
        <v/>
      </c>
      <c r="D19" s="33">
        <f>LET(
    dates,PaymentsData!B2:B500,
    payees,PaymentsData!C2:C500,
    amounts,PaymentsData!D2:D500,
    dayPayments,FILTER(HSTACK(payees,amounts),DAY(dates)=16,""),
    IFERROR(INDEX(dayPayments,2,1)&amp;" $"&amp;TEXT(INDEX(dayPayments,2,2),"#,##0"),"")
)</f>
        <v/>
      </c>
      <c r="E19" s="33">
        <f>LET(
    dates,PaymentsData!B2:B500,
    payees,PaymentsData!C2:C500,
    amounts,PaymentsData!D2:D500,
    dayPayments,FILTER(HSTACK(payees,amounts),DAY(dates)=17,""),
    IFERROR(INDEX(dayPayments,2,1)&amp;" $"&amp;TEXT(INDEX(dayPayments,2,2),"#,##0"),"")
)</f>
        <v/>
      </c>
      <c r="F19" s="33">
        <f>LET(
    dates,PaymentsData!B2:B500,
    payees,PaymentsData!C2:C500,
    amounts,PaymentsData!D2:D500,
    dayPayments,FILTER(HSTACK(payees,amounts),DAY(dates)=18,""),
    IFERROR(INDEX(dayPayments,2,1)&amp;" $"&amp;TEXT(INDEX(dayPayments,2,2),"#,##0"),"")
)</f>
        <v/>
      </c>
      <c r="G19" s="33">
        <f>LET(
    dates,PaymentsData!B2:B500,
    payees,PaymentsData!C2:C500,
    amounts,PaymentsData!D2:D500,
    dayPayments,FILTER(HSTACK(payees,amounts),DAY(dates)=19,""),
    IFERROR(INDEX(dayPayments,2,1)&amp;" $"&amp;TEXT(INDEX(dayPayments,2,2),"#,##0"),"")
)</f>
        <v/>
      </c>
      <c r="H19" s="33">
        <f>LET(
    dates,PaymentsData!B2:B500,
    payees,PaymentsData!C2:C500,
    amounts,PaymentsData!D2:D500,
    dayPayments,FILTER(HSTACK(payees,amounts),DAY(dates)=20,""),
    IFERROR(INDEX(dayPayments,2,1)&amp;" $"&amp;TEXT(INDEX(dayPayments,2,2),"#,##0"),"")
)</f>
        <v/>
      </c>
      <c r="J19" s="35" t="inlineStr">
        <is>
          <t>Overdue:</t>
        </is>
      </c>
      <c r="K19" s="44">
        <f>LET(s,PaymentsData!F:F,a,PaymentsData!D:D,SUMIF(s,"Overdue",a))</f>
        <v/>
      </c>
    </row>
    <row r="20" ht="18" customHeight="1">
      <c r="B20" s="33">
        <f>LET(
    dates,PaymentsData!B2:B500,
    payees,PaymentsData!C2:C500,
    amounts,PaymentsData!D2:D500,
    dayPayments,FILTER(HSTACK(payees,amounts),DAY(dates)=14,""),
    IFERROR(INDEX(dayPayments,3,1)&amp;" $"&amp;TEXT(INDEX(dayPayments,3,2),"#,##0"),"")
)</f>
        <v/>
      </c>
      <c r="C20" s="33">
        <f>LET(
    dates,PaymentsData!B2:B500,
    payees,PaymentsData!C2:C500,
    amounts,PaymentsData!D2:D500,
    dayPayments,FILTER(HSTACK(payees,amounts),DAY(dates)=15,""),
    IFERROR(INDEX(dayPayments,3,1)&amp;" $"&amp;TEXT(INDEX(dayPayments,3,2),"#,##0"),"")
)</f>
        <v/>
      </c>
      <c r="D20" s="33">
        <f>LET(
    dates,PaymentsData!B2:B500,
    payees,PaymentsData!C2:C500,
    amounts,PaymentsData!D2:D500,
    dayPayments,FILTER(HSTACK(payees,amounts),DAY(dates)=16,""),
    IFERROR(INDEX(dayPayments,3,1)&amp;" $"&amp;TEXT(INDEX(dayPayments,3,2),"#,##0"),"")
)</f>
        <v/>
      </c>
      <c r="E20" s="33">
        <f>LET(
    dates,PaymentsData!B2:B500,
    payees,PaymentsData!C2:C500,
    amounts,PaymentsData!D2:D500,
    dayPayments,FILTER(HSTACK(payees,amounts),DAY(dates)=17,""),
    IFERROR(INDEX(dayPayments,3,1)&amp;" $"&amp;TEXT(INDEX(dayPayments,3,2),"#,##0"),"")
)</f>
        <v/>
      </c>
      <c r="F20" s="33">
        <f>LET(
    dates,PaymentsData!B2:B500,
    payees,PaymentsData!C2:C500,
    amounts,PaymentsData!D2:D500,
    dayPayments,FILTER(HSTACK(payees,amounts),DAY(dates)=18,""),
    IFERROR(INDEX(dayPayments,3,1)&amp;" $"&amp;TEXT(INDEX(dayPayments,3,2),"#,##0"),"")
)</f>
        <v/>
      </c>
      <c r="G20" s="33">
        <f>LET(
    dates,PaymentsData!B2:B500,
    payees,PaymentsData!C2:C500,
    amounts,PaymentsData!D2:D500,
    dayPayments,FILTER(HSTACK(payees,amounts),DAY(dates)=19,""),
    IFERROR(INDEX(dayPayments,3,1)&amp;" $"&amp;TEXT(INDEX(dayPayments,3,2),"#,##0"),"")
)</f>
        <v/>
      </c>
      <c r="H20" s="33">
        <f>LET(
    dates,PaymentsData!B2:B500,
    payees,PaymentsData!C2:C500,
    amounts,PaymentsData!D2:D500,
    dayPayments,FILTER(HSTACK(payees,amounts),DAY(dates)=20,""),
    IFERROR(INDEX(dayPayments,3,1)&amp;" $"&amp;TEXT(INDEX(dayPayments,3,2),"#,##0"),"")
)</f>
        <v/>
      </c>
    </row>
    <row r="21" ht="18" customHeight="1">
      <c r="B21" s="39" t="n"/>
      <c r="C21" s="39" t="n"/>
      <c r="D21" s="39" t="n"/>
      <c r="E21" s="39" t="n"/>
      <c r="F21" s="39" t="n"/>
      <c r="G21" s="39" t="n"/>
      <c r="H21" s="39" t="n"/>
    </row>
    <row r="22" ht="18" customHeight="1">
      <c r="B22" s="31" t="n">
        <v>21</v>
      </c>
      <c r="C22" s="31" t="n">
        <v>22</v>
      </c>
      <c r="D22" s="31" t="n">
        <v>23</v>
      </c>
      <c r="E22" s="31" t="n">
        <v>24</v>
      </c>
      <c r="F22" s="31" t="n">
        <v>25</v>
      </c>
      <c r="G22" s="31" t="n">
        <v>26</v>
      </c>
      <c r="H22" s="31" t="n">
        <v>27</v>
      </c>
    </row>
    <row r="23" ht="18" customHeight="1">
      <c r="B23" s="33">
        <f>LET(
    dates,PaymentsData!B2:B500,
    payees,PaymentsData!C2:C500,
    amounts,PaymentsData!D2:D500,
    dayPayments,FILTER(HSTACK(payees,amounts),DAY(dates)=21,""),
    IFERROR(INDEX(dayPayments,1,1)&amp;" $"&amp;TEXT(INDEX(dayPayments,1,2),"#,##0"),"")
)</f>
        <v/>
      </c>
      <c r="C23" s="33">
        <f>LET(
    dates,PaymentsData!B2:B500,
    payees,PaymentsData!C2:C500,
    amounts,PaymentsData!D2:D500,
    dayPayments,FILTER(HSTACK(payees,amounts),DAY(dates)=22,""),
    IFERROR(INDEX(dayPayments,1,1)&amp;" $"&amp;TEXT(INDEX(dayPayments,1,2),"#,##0"),"")
)</f>
        <v/>
      </c>
      <c r="D23" s="33">
        <f>LET(
    dates,PaymentsData!B2:B500,
    payees,PaymentsData!C2:C500,
    amounts,PaymentsData!D2:D500,
    dayPayments,FILTER(HSTACK(payees,amounts),DAY(dates)=23,""),
    IFERROR(INDEX(dayPayments,1,1)&amp;" $"&amp;TEXT(INDEX(dayPayments,1,2),"#,##0"),"")
)</f>
        <v/>
      </c>
      <c r="E23" s="33">
        <f>LET(
    dates,PaymentsData!B2:B500,
    payees,PaymentsData!C2:C500,
    amounts,PaymentsData!D2:D500,
    dayPayments,FILTER(HSTACK(payees,amounts),DAY(dates)=24,""),
    IFERROR(INDEX(dayPayments,1,1)&amp;" $"&amp;TEXT(INDEX(dayPayments,1,2),"#,##0"),"")
)</f>
        <v/>
      </c>
      <c r="F23" s="33">
        <f>LET(
    dates,PaymentsData!B2:B500,
    payees,PaymentsData!C2:C500,
    amounts,PaymentsData!D2:D500,
    dayPayments,FILTER(HSTACK(payees,amounts),DAY(dates)=25,""),
    IFERROR(INDEX(dayPayments,1,1)&amp;" $"&amp;TEXT(INDEX(dayPayments,1,2),"#,##0"),"")
)</f>
        <v/>
      </c>
      <c r="G23" s="33">
        <f>LET(
    dates,PaymentsData!B2:B500,
    payees,PaymentsData!C2:C500,
    amounts,PaymentsData!D2:D500,
    dayPayments,FILTER(HSTACK(payees,amounts),DAY(dates)=26,""),
    IFERROR(INDEX(dayPayments,1,1)&amp;" $"&amp;TEXT(INDEX(dayPayments,1,2),"#,##0"),"")
)</f>
        <v/>
      </c>
      <c r="H23" s="33">
        <f>LET(
    dates,PaymentsData!B2:B500,
    payees,PaymentsData!C2:C500,
    amounts,PaymentsData!D2:D500,
    dayPayments,FILTER(HSTACK(payees,amounts),DAY(dates)=27,""),
    IFERROR(INDEX(dayPayments,1,1)&amp;" $"&amp;TEXT(INDEX(dayPayments,1,2),"#,##0"),"")
)</f>
        <v/>
      </c>
    </row>
    <row r="24" ht="18" customHeight="1">
      <c r="B24" s="33">
        <f>LET(
    dates,PaymentsData!B2:B500,
    payees,PaymentsData!C2:C500,
    amounts,PaymentsData!D2:D500,
    dayPayments,FILTER(HSTACK(payees,amounts),DAY(dates)=21,""),
    IFERROR(INDEX(dayPayments,2,1)&amp;" $"&amp;TEXT(INDEX(dayPayments,2,2),"#,##0"),"")
)</f>
        <v/>
      </c>
      <c r="C24" s="33">
        <f>LET(
    dates,PaymentsData!B2:B500,
    payees,PaymentsData!C2:C500,
    amounts,PaymentsData!D2:D500,
    dayPayments,FILTER(HSTACK(payees,amounts),DAY(dates)=22,""),
    IFERROR(INDEX(dayPayments,2,1)&amp;" $"&amp;TEXT(INDEX(dayPayments,2,2),"#,##0"),"")
)</f>
        <v/>
      </c>
      <c r="D24" s="33">
        <f>LET(
    dates,PaymentsData!B2:B500,
    payees,PaymentsData!C2:C500,
    amounts,PaymentsData!D2:D500,
    dayPayments,FILTER(HSTACK(payees,amounts),DAY(dates)=23,""),
    IFERROR(INDEX(dayPayments,2,1)&amp;" $"&amp;TEXT(INDEX(dayPayments,2,2),"#,##0"),"")
)</f>
        <v/>
      </c>
      <c r="E24" s="33">
        <f>LET(
    dates,PaymentsData!B2:B500,
    payees,PaymentsData!C2:C500,
    amounts,PaymentsData!D2:D500,
    dayPayments,FILTER(HSTACK(payees,amounts),DAY(dates)=24,""),
    IFERROR(INDEX(dayPayments,2,1)&amp;" $"&amp;TEXT(INDEX(dayPayments,2,2),"#,##0"),"")
)</f>
        <v/>
      </c>
      <c r="F24" s="33">
        <f>LET(
    dates,PaymentsData!B2:B500,
    payees,PaymentsData!C2:C500,
    amounts,PaymentsData!D2:D500,
    dayPayments,FILTER(HSTACK(payees,amounts),DAY(dates)=25,""),
    IFERROR(INDEX(dayPayments,2,1)&amp;" $"&amp;TEXT(INDEX(dayPayments,2,2),"#,##0"),"")
)</f>
        <v/>
      </c>
      <c r="G24" s="33">
        <f>LET(
    dates,PaymentsData!B2:B500,
    payees,PaymentsData!C2:C500,
    amounts,PaymentsData!D2:D500,
    dayPayments,FILTER(HSTACK(payees,amounts),DAY(dates)=26,""),
    IFERROR(INDEX(dayPayments,2,1)&amp;" $"&amp;TEXT(INDEX(dayPayments,2,2),"#,##0"),"")
)</f>
        <v/>
      </c>
      <c r="H24" s="33">
        <f>LET(
    dates,PaymentsData!B2:B500,
    payees,PaymentsData!C2:C500,
    amounts,PaymentsData!D2:D500,
    dayPayments,FILTER(HSTACK(payees,amounts),DAY(dates)=27,""),
    IFERROR(INDEX(dayPayments,2,1)&amp;" $"&amp;TEXT(INDEX(dayPayments,2,2),"#,##0"),"")
)</f>
        <v/>
      </c>
    </row>
    <row r="25" ht="18" customHeight="1">
      <c r="B25" s="33">
        <f>LET(
    dates,PaymentsData!B2:B500,
    payees,PaymentsData!C2:C500,
    amounts,PaymentsData!D2:D500,
    dayPayments,FILTER(HSTACK(payees,amounts),DAY(dates)=21,""),
    IFERROR(INDEX(dayPayments,3,1)&amp;" $"&amp;TEXT(INDEX(dayPayments,3,2),"#,##0"),"")
)</f>
        <v/>
      </c>
      <c r="C25" s="33">
        <f>LET(
    dates,PaymentsData!B2:B500,
    payees,PaymentsData!C2:C500,
    amounts,PaymentsData!D2:D500,
    dayPayments,FILTER(HSTACK(payees,amounts),DAY(dates)=22,""),
    IFERROR(INDEX(dayPayments,3,1)&amp;" $"&amp;TEXT(INDEX(dayPayments,3,2),"#,##0"),"")
)</f>
        <v/>
      </c>
      <c r="D25" s="33">
        <f>LET(
    dates,PaymentsData!B2:B500,
    payees,PaymentsData!C2:C500,
    amounts,PaymentsData!D2:D500,
    dayPayments,FILTER(HSTACK(payees,amounts),DAY(dates)=23,""),
    IFERROR(INDEX(dayPayments,3,1)&amp;" $"&amp;TEXT(INDEX(dayPayments,3,2),"#,##0"),"")
)</f>
        <v/>
      </c>
      <c r="E25" s="33">
        <f>LET(
    dates,PaymentsData!B2:B500,
    payees,PaymentsData!C2:C500,
    amounts,PaymentsData!D2:D500,
    dayPayments,FILTER(HSTACK(payees,amounts),DAY(dates)=24,""),
    IFERROR(INDEX(dayPayments,3,1)&amp;" $"&amp;TEXT(INDEX(dayPayments,3,2),"#,##0"),"")
)</f>
        <v/>
      </c>
      <c r="F25" s="33">
        <f>LET(
    dates,PaymentsData!B2:B500,
    payees,PaymentsData!C2:C500,
    amounts,PaymentsData!D2:D500,
    dayPayments,FILTER(HSTACK(payees,amounts),DAY(dates)=25,""),
    IFERROR(INDEX(dayPayments,3,1)&amp;" $"&amp;TEXT(INDEX(dayPayments,3,2),"#,##0"),"")
)</f>
        <v/>
      </c>
      <c r="G25" s="33">
        <f>LET(
    dates,PaymentsData!B2:B500,
    payees,PaymentsData!C2:C500,
    amounts,PaymentsData!D2:D500,
    dayPayments,FILTER(HSTACK(payees,amounts),DAY(dates)=26,""),
    IFERROR(INDEX(dayPayments,3,1)&amp;" $"&amp;TEXT(INDEX(dayPayments,3,2),"#,##0"),"")
)</f>
        <v/>
      </c>
      <c r="H25" s="33">
        <f>LET(
    dates,PaymentsData!B2:B500,
    payees,PaymentsData!C2:C500,
    amounts,PaymentsData!D2:D500,
    dayPayments,FILTER(HSTACK(payees,amounts),DAY(dates)=27,""),
    IFERROR(INDEX(dayPayments,3,1)&amp;" $"&amp;TEXT(INDEX(dayPayments,3,2),"#,##0"),"")
)</f>
        <v/>
      </c>
    </row>
    <row r="26" ht="18" customHeight="1">
      <c r="B26" s="39" t="n"/>
      <c r="C26" s="39" t="n"/>
      <c r="D26" s="39" t="n"/>
      <c r="E26" s="39" t="n"/>
      <c r="F26" s="39" t="n"/>
      <c r="G26" s="39" t="n"/>
      <c r="H26" s="39" t="n"/>
    </row>
    <row r="27" ht="18" customHeight="1">
      <c r="B27" s="31" t="n">
        <v>28</v>
      </c>
      <c r="C27" s="31" t="n">
        <v>29</v>
      </c>
      <c r="D27" s="31" t="n">
        <v>30</v>
      </c>
      <c r="E27" s="31" t="n">
        <v>31</v>
      </c>
      <c r="F27" s="30" t="n"/>
      <c r="G27" s="30" t="n"/>
      <c r="H27" s="30" t="n"/>
    </row>
    <row r="28" ht="18" customHeight="1">
      <c r="B28" s="33">
        <f>LET(
    dates,PaymentsData!B2:B500,
    payees,PaymentsData!C2:C500,
    amounts,PaymentsData!D2:D500,
    dayPayments,FILTER(HSTACK(payees,amounts),DAY(dates)=28,""),
    IFERROR(INDEX(dayPayments,1,1)&amp;" $"&amp;TEXT(INDEX(dayPayments,1,2),"#,##0"),"")
)</f>
        <v/>
      </c>
      <c r="C28" s="33">
        <f>LET(
    dates,PaymentsData!B2:B500,
    payees,PaymentsData!C2:C500,
    amounts,PaymentsData!D2:D500,
    dayPayments,FILTER(HSTACK(payees,amounts),DAY(dates)=29,""),
    IFERROR(INDEX(dayPayments,1,1)&amp;" $"&amp;TEXT(INDEX(dayPayments,1,2),"#,##0"),"")
)</f>
        <v/>
      </c>
      <c r="D28" s="33">
        <f>LET(
    dates,PaymentsData!B2:B500,
    payees,PaymentsData!C2:C500,
    amounts,PaymentsData!D2:D500,
    dayPayments,FILTER(HSTACK(payees,amounts),DAY(dates)=30,""),
    IFERROR(INDEX(dayPayments,1,1)&amp;" $"&amp;TEXT(INDEX(dayPayments,1,2),"#,##0"),"")
)</f>
        <v/>
      </c>
      <c r="E28" s="33">
        <f>LET(
    dates,PaymentsData!B2:B500,
    payees,PaymentsData!C2:C500,
    amounts,PaymentsData!D2:D500,
    dayPayments,FILTER(HSTACK(payees,amounts),DAY(dates)=31,""),
    IFERROR(INDEX(dayPayments,1,1)&amp;" $"&amp;TEXT(INDEX(dayPayments,1,2),"#,##0"),"")
)</f>
        <v/>
      </c>
      <c r="F28" s="32" t="n"/>
      <c r="G28" s="32" t="n"/>
      <c r="H28" s="32" t="n"/>
    </row>
    <row r="29" ht="18" customHeight="1">
      <c r="B29" s="33">
        <f>LET(
    dates,PaymentsData!B2:B500,
    payees,PaymentsData!C2:C500,
    amounts,PaymentsData!D2:D500,
    dayPayments,FILTER(HSTACK(payees,amounts),DAY(dates)=28,""),
    IFERROR(INDEX(dayPayments,2,1)&amp;" $"&amp;TEXT(INDEX(dayPayments,2,2),"#,##0"),"")
)</f>
        <v/>
      </c>
      <c r="C29" s="33">
        <f>LET(
    dates,PaymentsData!B2:B500,
    payees,PaymentsData!C2:C500,
    amounts,PaymentsData!D2:D500,
    dayPayments,FILTER(HSTACK(payees,amounts),DAY(dates)=29,""),
    IFERROR(INDEX(dayPayments,2,1)&amp;" $"&amp;TEXT(INDEX(dayPayments,2,2),"#,##0"),"")
)</f>
        <v/>
      </c>
      <c r="D29" s="33">
        <f>LET(
    dates,PaymentsData!B2:B500,
    payees,PaymentsData!C2:C500,
    amounts,PaymentsData!D2:D500,
    dayPayments,FILTER(HSTACK(payees,amounts),DAY(dates)=30,""),
    IFERROR(INDEX(dayPayments,2,1)&amp;" $"&amp;TEXT(INDEX(dayPayments,2,2),"#,##0"),"")
)</f>
        <v/>
      </c>
      <c r="E29" s="33">
        <f>LET(
    dates,PaymentsData!B2:B500,
    payees,PaymentsData!C2:C500,
    amounts,PaymentsData!D2:D500,
    dayPayments,FILTER(HSTACK(payees,amounts),DAY(dates)=31,""),
    IFERROR(INDEX(dayPayments,2,1)&amp;" $"&amp;TEXT(INDEX(dayPayments,2,2),"#,##0"),"")
)</f>
        <v/>
      </c>
      <c r="F29" s="32" t="n"/>
      <c r="G29" s="32" t="n"/>
      <c r="H29" s="32" t="n"/>
    </row>
    <row r="30" ht="18" customHeight="1">
      <c r="B30" s="33">
        <f>LET(
    dates,PaymentsData!B2:B500,
    payees,PaymentsData!C2:C500,
    amounts,PaymentsData!D2:D500,
    dayPayments,FILTER(HSTACK(payees,amounts),DAY(dates)=28,""),
    IFERROR(INDEX(dayPayments,3,1)&amp;" $"&amp;TEXT(INDEX(dayPayments,3,2),"#,##0"),"")
)</f>
        <v/>
      </c>
      <c r="C30" s="33">
        <f>LET(
    dates,PaymentsData!B2:B500,
    payees,PaymentsData!C2:C500,
    amounts,PaymentsData!D2:D500,
    dayPayments,FILTER(HSTACK(payees,amounts),DAY(dates)=29,""),
    IFERROR(INDEX(dayPayments,3,1)&amp;" $"&amp;TEXT(INDEX(dayPayments,3,2),"#,##0"),"")
)</f>
        <v/>
      </c>
      <c r="D30" s="33">
        <f>LET(
    dates,PaymentsData!B2:B500,
    payees,PaymentsData!C2:C500,
    amounts,PaymentsData!D2:D500,
    dayPayments,FILTER(HSTACK(payees,amounts),DAY(dates)=30,""),
    IFERROR(INDEX(dayPayments,3,1)&amp;" $"&amp;TEXT(INDEX(dayPayments,3,2),"#,##0"),"")
)</f>
        <v/>
      </c>
      <c r="E30" s="33">
        <f>LET(
    dates,PaymentsData!B2:B500,
    payees,PaymentsData!C2:C500,
    amounts,PaymentsData!D2:D500,
    dayPayments,FILTER(HSTACK(payees,amounts),DAY(dates)=31,""),
    IFERROR(INDEX(dayPayments,3,1)&amp;" $"&amp;TEXT(INDEX(dayPayments,3,2),"#,##0"),"")
)</f>
        <v/>
      </c>
      <c r="F30" s="32" t="n"/>
      <c r="G30" s="32" t="n"/>
      <c r="H30" s="32" t="n"/>
    </row>
    <row r="31" ht="18" customHeight="1">
      <c r="B31" s="39" t="n"/>
      <c r="C31" s="39" t="n"/>
      <c r="D31" s="39" t="n"/>
      <c r="E31" s="39" t="n"/>
      <c r="F31" s="38" t="n"/>
      <c r="G31" s="38" t="n"/>
      <c r="H31" s="38" t="n"/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2">
    <mergeCell ref="B2:H2"/>
    <mergeCell ref="J15:K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  <col width="15" customWidth="1" min="8" max="8"/>
    <col width="18" customWidth="1" min="9" max="9"/>
    <col width="15" customWidth="1" min="10" max="10"/>
    <col width="3" customWidth="1" min="11" max="11"/>
  </cols>
  <sheetData>
    <row r="2">
      <c r="B2" s="27" t="inlineStr">
        <is>
          <t>Time Deposit Manager</t>
        </is>
      </c>
    </row>
    <row r="3">
      <c r="B3" s="2" t="inlineStr">
        <is>
          <t>Track and manage your term deposits, CDs, and fixed-income investments</t>
        </is>
      </c>
    </row>
    <row r="5">
      <c r="B5" s="3" t="inlineStr">
        <is>
          <t>Total Deposits</t>
        </is>
      </c>
      <c r="C5" s="45" t="n"/>
      <c r="D5" s="3" t="inlineStr">
        <is>
          <t>Average Rate</t>
        </is>
      </c>
      <c r="E5" s="45" t="n"/>
      <c r="F5" s="3" t="inlineStr">
        <is>
          <t>Expected Interest</t>
        </is>
      </c>
      <c r="G5" s="45" t="n"/>
      <c r="H5" s="3" t="inlineStr">
        <is>
          <t>Maturing (30 days)</t>
        </is>
      </c>
      <c r="I5" s="45" t="n"/>
    </row>
    <row r="6">
      <c r="B6" s="46">
        <f>LET(status,DepositsData!G:G,principal,DepositsData!D:D,SUMIF(status,"Active",principal))</f>
        <v/>
      </c>
      <c r="C6" s="47" t="n"/>
      <c r="D6" s="48">
        <f>LET(status,DepositsData!G:G,rates,DepositsData!E:E,AVERAGEIF(status,"Active",rates))</f>
        <v/>
      </c>
      <c r="E6" s="47" t="n"/>
      <c r="F6" s="49">
        <f>LET(status,DepositsData!G:G,interest,DepositsData!H:H,SUMIF(status,"Active",interest))</f>
        <v/>
      </c>
      <c r="G6" s="47" t="n"/>
      <c r="H6" s="50">
        <f>LET(
    maturity,DepositsData!F2:F100,
    principal,DepositsData!D2:D100,
    status,DepositsData!G2:G100,
    filtered,FILTER(principal,(maturity&gt;=TODAY())*(maturity&lt;=TODAY()+30)*(status="Active"),0),
    SUM(filtered)
)</f>
        <v/>
      </c>
      <c r="I6" s="47" t="n"/>
    </row>
    <row r="7">
      <c r="B7" s="51" t="n"/>
      <c r="C7" s="15" t="n"/>
      <c r="D7" s="51" t="n"/>
      <c r="E7" s="15" t="n"/>
      <c r="F7" s="51" t="n"/>
      <c r="G7" s="15" t="n"/>
      <c r="H7" s="51" t="n"/>
      <c r="I7" s="15" t="n"/>
    </row>
    <row r="9">
      <c r="B9" s="17" t="inlineStr">
        <is>
          <t>Active Time Deposits</t>
        </is>
      </c>
    </row>
    <row r="10">
      <c r="B10" s="52" t="inlineStr">
        <is>
          <t>ID</t>
        </is>
      </c>
      <c r="C10" s="52" t="inlineStr">
        <is>
          <t>Bank/Institution</t>
        </is>
      </c>
      <c r="D10" s="52" t="inlineStr">
        <is>
          <t>Principal</t>
        </is>
      </c>
      <c r="E10" s="52" t="inlineStr">
        <is>
          <t>Rate</t>
        </is>
      </c>
      <c r="F10" s="52" t="inlineStr">
        <is>
          <t>Start Date</t>
        </is>
      </c>
      <c r="G10" s="52" t="inlineStr">
        <is>
          <t>Maturity</t>
        </is>
      </c>
      <c r="H10" s="52" t="inlineStr">
        <is>
          <t>Days Left</t>
        </is>
      </c>
      <c r="I10" s="52" t="inlineStr">
        <is>
          <t>Interest</t>
        </is>
      </c>
      <c r="J10" s="52" t="inlineStr">
        <is>
          <t>Status</t>
        </is>
      </c>
    </row>
    <row r="11">
      <c r="B11" s="53">
        <f>DepositsData!A2</f>
        <v/>
      </c>
      <c r="C11" s="53">
        <f>DepositsData!B2</f>
        <v/>
      </c>
      <c r="D11" s="54">
        <f>DepositsData!D2</f>
        <v/>
      </c>
      <c r="E11" s="55">
        <f>DepositsData!E2</f>
        <v/>
      </c>
      <c r="F11" s="56">
        <f>DepositsData!C2</f>
        <v/>
      </c>
      <c r="G11" s="56">
        <f>DepositsData!F2</f>
        <v/>
      </c>
      <c r="H11" s="53">
        <f>LET(maturity,DepositsData!F2,IF(maturity="","",MAX(0,maturity-TODAY())))</f>
        <v/>
      </c>
      <c r="I11" s="54">
        <f>DepositsData!H2</f>
        <v/>
      </c>
      <c r="J11" s="53">
        <f>DepositsData!G2</f>
        <v/>
      </c>
    </row>
    <row r="12">
      <c r="B12" s="53">
        <f>DepositsData!A3</f>
        <v/>
      </c>
      <c r="C12" s="53">
        <f>DepositsData!B3</f>
        <v/>
      </c>
      <c r="D12" s="54">
        <f>DepositsData!D3</f>
        <v/>
      </c>
      <c r="E12" s="55">
        <f>DepositsData!E3</f>
        <v/>
      </c>
      <c r="F12" s="56">
        <f>DepositsData!C3</f>
        <v/>
      </c>
      <c r="G12" s="56">
        <f>DepositsData!F3</f>
        <v/>
      </c>
      <c r="H12" s="53">
        <f>LET(maturity,DepositsData!F3,IF(maturity="","",MAX(0,maturity-TODAY())))</f>
        <v/>
      </c>
      <c r="I12" s="54">
        <f>DepositsData!H3</f>
        <v/>
      </c>
      <c r="J12" s="53">
        <f>DepositsData!G3</f>
        <v/>
      </c>
    </row>
    <row r="13">
      <c r="B13" s="53">
        <f>DepositsData!A4</f>
        <v/>
      </c>
      <c r="C13" s="53">
        <f>DepositsData!B4</f>
        <v/>
      </c>
      <c r="D13" s="54">
        <f>DepositsData!D4</f>
        <v/>
      </c>
      <c r="E13" s="55">
        <f>DepositsData!E4</f>
        <v/>
      </c>
      <c r="F13" s="56">
        <f>DepositsData!C4</f>
        <v/>
      </c>
      <c r="G13" s="56">
        <f>DepositsData!F4</f>
        <v/>
      </c>
      <c r="H13" s="53">
        <f>LET(maturity,DepositsData!F4,IF(maturity="","",MAX(0,maturity-TODAY())))</f>
        <v/>
      </c>
      <c r="I13" s="54">
        <f>DepositsData!H4</f>
        <v/>
      </c>
      <c r="J13" s="53">
        <f>DepositsData!G4</f>
        <v/>
      </c>
    </row>
    <row r="14">
      <c r="B14" s="53">
        <f>DepositsData!A5</f>
        <v/>
      </c>
      <c r="C14" s="53">
        <f>DepositsData!B5</f>
        <v/>
      </c>
      <c r="D14" s="54">
        <f>DepositsData!D5</f>
        <v/>
      </c>
      <c r="E14" s="55">
        <f>DepositsData!E5</f>
        <v/>
      </c>
      <c r="F14" s="56">
        <f>DepositsData!C5</f>
        <v/>
      </c>
      <c r="G14" s="56">
        <f>DepositsData!F5</f>
        <v/>
      </c>
      <c r="H14" s="53">
        <f>LET(maturity,DepositsData!F5,IF(maturity="","",MAX(0,maturity-TODAY())))</f>
        <v/>
      </c>
      <c r="I14" s="54">
        <f>DepositsData!H5</f>
        <v/>
      </c>
      <c r="J14" s="53">
        <f>DepositsData!G5</f>
        <v/>
      </c>
    </row>
    <row r="15">
      <c r="B15" s="53">
        <f>DepositsData!A6</f>
        <v/>
      </c>
      <c r="C15" s="53">
        <f>DepositsData!B6</f>
        <v/>
      </c>
      <c r="D15" s="54">
        <f>DepositsData!D6</f>
        <v/>
      </c>
      <c r="E15" s="55">
        <f>DepositsData!E6</f>
        <v/>
      </c>
      <c r="F15" s="56">
        <f>DepositsData!C6</f>
        <v/>
      </c>
      <c r="G15" s="56">
        <f>DepositsData!F6</f>
        <v/>
      </c>
      <c r="H15" s="53">
        <f>LET(maturity,DepositsData!F6,IF(maturity="","",MAX(0,maturity-TODAY())))</f>
        <v/>
      </c>
      <c r="I15" s="54">
        <f>DepositsData!H6</f>
        <v/>
      </c>
      <c r="J15" s="53">
        <f>DepositsData!G6</f>
        <v/>
      </c>
    </row>
    <row r="16">
      <c r="B16" s="53">
        <f>DepositsData!A7</f>
        <v/>
      </c>
      <c r="C16" s="53">
        <f>DepositsData!B7</f>
        <v/>
      </c>
      <c r="D16" s="54">
        <f>DepositsData!D7</f>
        <v/>
      </c>
      <c r="E16" s="55">
        <f>DepositsData!E7</f>
        <v/>
      </c>
      <c r="F16" s="56">
        <f>DepositsData!C7</f>
        <v/>
      </c>
      <c r="G16" s="56">
        <f>DepositsData!F7</f>
        <v/>
      </c>
      <c r="H16" s="53">
        <f>LET(maturity,DepositsData!F7,IF(maturity="","",MAX(0,maturity-TODAY())))</f>
        <v/>
      </c>
      <c r="I16" s="54">
        <f>DepositsData!H7</f>
        <v/>
      </c>
      <c r="J16" s="53">
        <f>DepositsData!G7</f>
        <v/>
      </c>
    </row>
    <row r="17">
      <c r="B17" s="53">
        <f>DepositsData!A8</f>
        <v/>
      </c>
      <c r="C17" s="53">
        <f>DepositsData!B8</f>
        <v/>
      </c>
      <c r="D17" s="54">
        <f>DepositsData!D8</f>
        <v/>
      </c>
      <c r="E17" s="55">
        <f>DepositsData!E8</f>
        <v/>
      </c>
      <c r="F17" s="56">
        <f>DepositsData!C8</f>
        <v/>
      </c>
      <c r="G17" s="56">
        <f>DepositsData!F8</f>
        <v/>
      </c>
      <c r="H17" s="53">
        <f>LET(maturity,DepositsData!F8,IF(maturity="","",MAX(0,maturity-TODAY())))</f>
        <v/>
      </c>
      <c r="I17" s="54">
        <f>DepositsData!H8</f>
        <v/>
      </c>
      <c r="J17" s="53">
        <f>DepositsData!G8</f>
        <v/>
      </c>
    </row>
    <row r="18">
      <c r="B18" s="53">
        <f>DepositsData!A9</f>
        <v/>
      </c>
      <c r="C18" s="53">
        <f>DepositsData!B9</f>
        <v/>
      </c>
      <c r="D18" s="54">
        <f>DepositsData!D9</f>
        <v/>
      </c>
      <c r="E18" s="55">
        <f>DepositsData!E9</f>
        <v/>
      </c>
      <c r="F18" s="56">
        <f>DepositsData!C9</f>
        <v/>
      </c>
      <c r="G18" s="56">
        <f>DepositsData!F9</f>
        <v/>
      </c>
      <c r="H18" s="53">
        <f>LET(maturity,DepositsData!F9,IF(maturity="","",MAX(0,maturity-TODAY())))</f>
        <v/>
      </c>
      <c r="I18" s="54">
        <f>DepositsData!H9</f>
        <v/>
      </c>
      <c r="J18" s="53">
        <f>DepositsData!G9</f>
        <v/>
      </c>
    </row>
    <row r="19">
      <c r="B19" s="53">
        <f>DepositsData!A10</f>
        <v/>
      </c>
      <c r="C19" s="53">
        <f>DepositsData!B10</f>
        <v/>
      </c>
      <c r="D19" s="54">
        <f>DepositsData!D10</f>
        <v/>
      </c>
      <c r="E19" s="55">
        <f>DepositsData!E10</f>
        <v/>
      </c>
      <c r="F19" s="56">
        <f>DepositsData!C10</f>
        <v/>
      </c>
      <c r="G19" s="56">
        <f>DepositsData!F10</f>
        <v/>
      </c>
      <c r="H19" s="53">
        <f>LET(maturity,DepositsData!F10,IF(maturity="","",MAX(0,maturity-TODAY())))</f>
        <v/>
      </c>
      <c r="I19" s="54">
        <f>DepositsData!H10</f>
        <v/>
      </c>
      <c r="J19" s="53">
        <f>DepositsData!G10</f>
        <v/>
      </c>
    </row>
    <row r="20">
      <c r="B20" s="53">
        <f>DepositsData!A11</f>
        <v/>
      </c>
      <c r="C20" s="53">
        <f>DepositsData!B11</f>
        <v/>
      </c>
      <c r="D20" s="54">
        <f>DepositsData!D11</f>
        <v/>
      </c>
      <c r="E20" s="55">
        <f>DepositsData!E11</f>
        <v/>
      </c>
      <c r="F20" s="56">
        <f>DepositsData!C11</f>
        <v/>
      </c>
      <c r="G20" s="56">
        <f>DepositsData!F11</f>
        <v/>
      </c>
      <c r="H20" s="53">
        <f>LET(maturity,DepositsData!F11,IF(maturity="","",MAX(0,maturity-TODAY())))</f>
        <v/>
      </c>
      <c r="I20" s="54">
        <f>DepositsData!H11</f>
        <v/>
      </c>
      <c r="J20" s="53">
        <f>DepositsData!G11</f>
        <v/>
      </c>
    </row>
    <row r="21">
      <c r="B21" s="53">
        <f>DepositsData!A12</f>
        <v/>
      </c>
      <c r="C21" s="53">
        <f>DepositsData!B12</f>
        <v/>
      </c>
      <c r="D21" s="54">
        <f>DepositsData!D12</f>
        <v/>
      </c>
      <c r="E21" s="55">
        <f>DepositsData!E12</f>
        <v/>
      </c>
      <c r="F21" s="56">
        <f>DepositsData!C12</f>
        <v/>
      </c>
      <c r="G21" s="56">
        <f>DepositsData!F12</f>
        <v/>
      </c>
      <c r="H21" s="53">
        <f>LET(maturity,DepositsData!F12,IF(maturity="","",MAX(0,maturity-TODAY())))</f>
        <v/>
      </c>
      <c r="I21" s="54">
        <f>DepositsData!H12</f>
        <v/>
      </c>
      <c r="J21" s="53">
        <f>DepositsData!G12</f>
        <v/>
      </c>
    </row>
    <row r="22">
      <c r="B22" s="53">
        <f>DepositsData!A13</f>
        <v/>
      </c>
      <c r="C22" s="53">
        <f>DepositsData!B13</f>
        <v/>
      </c>
      <c r="D22" s="54">
        <f>DepositsData!D13</f>
        <v/>
      </c>
      <c r="E22" s="55">
        <f>DepositsData!E13</f>
        <v/>
      </c>
      <c r="F22" s="56">
        <f>DepositsData!C13</f>
        <v/>
      </c>
      <c r="G22" s="56">
        <f>DepositsData!F13</f>
        <v/>
      </c>
      <c r="H22" s="53">
        <f>LET(maturity,DepositsData!F13,IF(maturity="","",MAX(0,maturity-TODAY())))</f>
        <v/>
      </c>
      <c r="I22" s="54">
        <f>DepositsData!H13</f>
        <v/>
      </c>
      <c r="J22" s="53">
        <f>DepositsData!G13</f>
        <v/>
      </c>
    </row>
    <row r="23">
      <c r="B23" s="53">
        <f>DepositsData!A14</f>
        <v/>
      </c>
      <c r="C23" s="53">
        <f>DepositsData!B14</f>
        <v/>
      </c>
      <c r="D23" s="54">
        <f>DepositsData!D14</f>
        <v/>
      </c>
      <c r="E23" s="55">
        <f>DepositsData!E14</f>
        <v/>
      </c>
      <c r="F23" s="56">
        <f>DepositsData!C14</f>
        <v/>
      </c>
      <c r="G23" s="56">
        <f>DepositsData!F14</f>
        <v/>
      </c>
      <c r="H23" s="53">
        <f>LET(maturity,DepositsData!F14,IF(maturity="","",MAX(0,maturity-TODAY())))</f>
        <v/>
      </c>
      <c r="I23" s="54">
        <f>DepositsData!H14</f>
        <v/>
      </c>
      <c r="J23" s="53">
        <f>DepositsData!G14</f>
        <v/>
      </c>
    </row>
    <row r="24">
      <c r="B24" s="53">
        <f>DepositsData!A15</f>
        <v/>
      </c>
      <c r="C24" s="53">
        <f>DepositsData!B15</f>
        <v/>
      </c>
      <c r="D24" s="54">
        <f>DepositsData!D15</f>
        <v/>
      </c>
      <c r="E24" s="55">
        <f>DepositsData!E15</f>
        <v/>
      </c>
      <c r="F24" s="56">
        <f>DepositsData!C15</f>
        <v/>
      </c>
      <c r="G24" s="56">
        <f>DepositsData!F15</f>
        <v/>
      </c>
      <c r="H24" s="53">
        <f>LET(maturity,DepositsData!F15,IF(maturity="","",MAX(0,maturity-TODAY())))</f>
        <v/>
      </c>
      <c r="I24" s="54">
        <f>DepositsData!H15</f>
        <v/>
      </c>
      <c r="J24" s="53">
        <f>DepositsData!G15</f>
        <v/>
      </c>
    </row>
    <row r="25">
      <c r="B25" s="53">
        <f>DepositsData!A16</f>
        <v/>
      </c>
      <c r="C25" s="53">
        <f>DepositsData!B16</f>
        <v/>
      </c>
      <c r="D25" s="54">
        <f>DepositsData!D16</f>
        <v/>
      </c>
      <c r="E25" s="55">
        <f>DepositsData!E16</f>
        <v/>
      </c>
      <c r="F25" s="56">
        <f>DepositsData!C16</f>
        <v/>
      </c>
      <c r="G25" s="56">
        <f>DepositsData!F16</f>
        <v/>
      </c>
      <c r="H25" s="53">
        <f>LET(maturity,DepositsData!F16,IF(maturity="","",MAX(0,maturity-TODAY())))</f>
        <v/>
      </c>
      <c r="I25" s="54">
        <f>DepositsData!H16</f>
        <v/>
      </c>
      <c r="J25" s="53">
        <f>DepositsData!G16</f>
        <v/>
      </c>
    </row>
    <row r="28">
      <c r="B28" s="17" t="inlineStr">
        <is>
          <t>Maturity Ladder</t>
        </is>
      </c>
    </row>
    <row r="29">
      <c r="B29" s="57" t="inlineStr">
        <is>
          <t>Period</t>
        </is>
      </c>
      <c r="C29" s="57" t="inlineStr">
        <is>
          <t>Count</t>
        </is>
      </c>
      <c r="D29" s="57" t="inlineStr">
        <is>
          <t>Amount</t>
        </is>
      </c>
      <c r="E29" s="57" t="inlineStr">
        <is>
          <t>% of Total</t>
        </is>
      </c>
    </row>
    <row r="30">
      <c r="B30" s="21" t="inlineStr">
        <is>
          <t>0-30 Days</t>
        </is>
      </c>
      <c r="C30" s="58">
        <f>LET(
    maturity,DepositsData!F2:F100,
    status,DepositsData!G2:G100,
    daysToMaturity,maturity-TODAY(),
    ROWS(FILTER(maturity,(daysToMaturity&gt;=0)*(daysToMaturity&lt;=30)*(status="Active"),{}))
)</f>
        <v/>
      </c>
      <c r="D30" s="25">
        <f>LET(
    maturity,DepositsData!F2:F100,
    principal,DepositsData!D2:D100,
    status,DepositsData!G2:G100,
    daysToMaturity,maturity-TODAY(),
    filtered,FILTER(principal,(daysToMaturity&gt;=0)*(daysToMaturity&lt;=30)*(status="Active"),0),
    SUM(filtered)
)</f>
        <v/>
      </c>
      <c r="E30" s="59">
        <f>LET(amt,D30,total,SUMIF(DepositsData!G:G,"Active",DepositsData!D:D),IFERROR(amt/total,0))</f>
        <v/>
      </c>
    </row>
    <row r="31">
      <c r="B31" s="21" t="inlineStr">
        <is>
          <t>31-60 Days</t>
        </is>
      </c>
      <c r="C31" s="58">
        <f>LET(
    maturity,DepositsData!F2:F100,
    status,DepositsData!G2:G100,
    daysToMaturity,maturity-TODAY(),
    ROWS(FILTER(maturity,(daysToMaturity&gt;=31)*(daysToMaturity&lt;=60)*(status="Active"),{}))
)</f>
        <v/>
      </c>
      <c r="D31" s="25">
        <f>LET(
    maturity,DepositsData!F2:F100,
    principal,DepositsData!D2:D100,
    status,DepositsData!G2:G100,
    daysToMaturity,maturity-TODAY(),
    filtered,FILTER(principal,(daysToMaturity&gt;=31)*(daysToMaturity&lt;=60)*(status="Active"),0),
    SUM(filtered)
)</f>
        <v/>
      </c>
      <c r="E31" s="59">
        <f>LET(amt,D31,total,SUMIF(DepositsData!G:G,"Active",DepositsData!D:D),IFERROR(amt/total,0))</f>
        <v/>
      </c>
    </row>
    <row r="32">
      <c r="B32" s="21" t="inlineStr">
        <is>
          <t>61-90 Days</t>
        </is>
      </c>
      <c r="C32" s="58">
        <f>LET(
    maturity,DepositsData!F2:F100,
    status,DepositsData!G2:G100,
    daysToMaturity,maturity-TODAY(),
    ROWS(FILTER(maturity,(daysToMaturity&gt;=61)*(daysToMaturity&lt;=90)*(status="Active"),{}))
)</f>
        <v/>
      </c>
      <c r="D32" s="25">
        <f>LET(
    maturity,DepositsData!F2:F100,
    principal,DepositsData!D2:D100,
    status,DepositsData!G2:G100,
    daysToMaturity,maturity-TODAY(),
    filtered,FILTER(principal,(daysToMaturity&gt;=61)*(daysToMaturity&lt;=90)*(status="Active"),0),
    SUM(filtered)
)</f>
        <v/>
      </c>
      <c r="E32" s="59">
        <f>LET(amt,D32,total,SUMIF(DepositsData!G:G,"Active",DepositsData!D:D),IFERROR(amt/total,0))</f>
        <v/>
      </c>
    </row>
    <row r="33">
      <c r="B33" s="21" t="inlineStr">
        <is>
          <t>91-180 Days</t>
        </is>
      </c>
      <c r="C33" s="58">
        <f>LET(
    maturity,DepositsData!F2:F100,
    status,DepositsData!G2:G100,
    daysToMaturity,maturity-TODAY(),
    ROWS(FILTER(maturity,(daysToMaturity&gt;=91)*(daysToMaturity&lt;=180)*(status="Active"),{}))
)</f>
        <v/>
      </c>
      <c r="D33" s="25">
        <f>LET(
    maturity,DepositsData!F2:F100,
    principal,DepositsData!D2:D100,
    status,DepositsData!G2:G100,
    daysToMaturity,maturity-TODAY(),
    filtered,FILTER(principal,(daysToMaturity&gt;=91)*(daysToMaturity&lt;=180)*(status="Active"),0),
    SUM(filtered)
)</f>
        <v/>
      </c>
      <c r="E33" s="59">
        <f>LET(amt,D33,total,SUMIF(DepositsData!G:G,"Active",DepositsData!D:D),IFERROR(amt/total,0))</f>
        <v/>
      </c>
    </row>
    <row r="34">
      <c r="B34" s="21" t="inlineStr">
        <is>
          <t>180+ Days</t>
        </is>
      </c>
      <c r="C34" s="58">
        <f>LET(
    maturity,DepositsData!F2:F100,
    status,DepositsData!G2:G100,
    daysToMaturity,maturity-TODAY(),
    ROWS(FILTER(maturity,(daysToMaturity&gt;=181)*(daysToMaturity&lt;=9999)*(status="Active"),{}))
)</f>
        <v/>
      </c>
      <c r="D34" s="25">
        <f>LET(
    maturity,DepositsData!F2:F100,
    principal,DepositsData!D2:D100,
    status,DepositsData!G2:G100,
    daysToMaturity,maturity-TODAY(),
    filtered,FILTER(principal,(daysToMaturity&gt;=181)*(daysToMaturity&lt;=9999)*(status="Active"),0),
    SUM(filtered)
)</f>
        <v/>
      </c>
      <c r="E34" s="59">
        <f>LET(amt,D34,total,SUMIF(DepositsData!G:G,"Active",DepositsData!D:D),IFERROR(amt/total,0))</f>
        <v/>
      </c>
    </row>
  </sheetData>
  <mergeCells count="6">
    <mergeCell ref="D6:E6"/>
    <mergeCell ref="B6:C6"/>
    <mergeCell ref="B3:J3"/>
    <mergeCell ref="H6:I6"/>
    <mergeCell ref="F6:G6"/>
    <mergeCell ref="B2:J2"/>
  </mergeCells>
  <conditionalFormatting sqref="H11:H25">
    <cfRule type="expression" priority="1" dxfId="2">
      <formula>H11&lt;=30</formula>
    </cfRule>
    <cfRule type="expression" priority="2" dxfId="1">
      <formula>H11&lt;=7</formula>
    </cfRule>
  </conditionalFormatting>
  <conditionalFormatting sqref="J11:J25">
    <cfRule type="expression" priority="3" dxfId="0">
      <formula>J11="Active"</formula>
    </cfRule>
    <cfRule type="expression" priority="4" dxfId="3">
      <formula>J11="Matured"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</cols>
  <sheetData>
    <row r="2">
      <c r="B2" s="27" t="inlineStr">
        <is>
          <t>Cash Flow Positions</t>
        </is>
      </c>
    </row>
    <row r="3">
      <c r="B3" s="2" t="inlineStr">
        <is>
          <t>Comprehensive view of cash inflows, outflows, and positions</t>
        </is>
      </c>
    </row>
    <row r="5">
      <c r="B5" s="17" t="inlineStr">
        <is>
          <t>Position Summary</t>
        </is>
      </c>
    </row>
    <row r="6">
      <c r="B6" s="60" t="inlineStr">
        <is>
          <t>Period</t>
        </is>
      </c>
      <c r="C6" s="60" t="inlineStr">
        <is>
          <t>Start Balance</t>
        </is>
      </c>
      <c r="D6" s="60" t="inlineStr">
        <is>
          <t>Inflows</t>
        </is>
      </c>
      <c r="E6" s="60" t="inlineStr">
        <is>
          <t>Outflows</t>
        </is>
      </c>
      <c r="F6" s="60" t="inlineStr">
        <is>
          <t>Net Flow</t>
        </is>
      </c>
      <c r="G6" s="60" t="inlineStr">
        <is>
          <t>End Balance</t>
        </is>
      </c>
      <c r="H6" s="60" t="inlineStr">
        <is>
          <t>Change %</t>
        </is>
      </c>
    </row>
    <row r="7">
      <c r="B7" s="21" t="inlineStr">
        <is>
          <t>Today</t>
        </is>
      </c>
      <c r="C7" s="25">
        <f>CashTransactions!J2</f>
        <v/>
      </c>
      <c r="D7" s="25">
        <f>LET(
    txDates,CashTransactions!B2:B500,
    txAmounts,CashTransactions!D2:D500,
    depMaturity,DepositsData!F2:F100,
    depPrincipal,DepositsData!D2:D100,
    depInterest,DepositsData!H2:H100,
    depStatus,DepositsData!G2:G100,
    startDt,TODAY(),
    endDt,TODAY(),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7" s="25">
        <f>LET(
    payDates,PaymentsData!B2:B500,
    payAmounts,PaymentsData!D2:D500,
    payStatus,PaymentsData!F2:F500,
    txDates,CashTransactions!B2:B500,
    txAmounts,CashTransactions!D2:D500,
    startDt,TODAY(),
    endDt,TODAY(),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7" s="25">
        <f>D7-E7</f>
        <v/>
      </c>
      <c r="G7" s="25">
        <f>C7+F7</f>
        <v/>
      </c>
      <c r="H7" s="59">
        <f>LET(net,F7,start,C7,IFERROR(net/start,0))</f>
        <v/>
      </c>
    </row>
    <row r="8">
      <c r="B8" s="21" t="inlineStr">
        <is>
          <t>This Week</t>
        </is>
      </c>
      <c r="C8" s="25">
        <f>CashTransactions!J2</f>
        <v/>
      </c>
      <c r="D8" s="25">
        <f>LET(
    txDates,CashTransactions!B2:B500,
    txAmounts,CashTransactions!D2:D500,
    depMaturity,DepositsData!F2:F100,
    depPrincipal,DepositsData!D2:D100,
    depInterest,DepositsData!H2:H100,
    depStatus,DepositsData!G2:G100,
    startDt,TODAY()-WEEKDAY(TODAY(),2)+1,
    endDt,TODAY()-WEEKDAY(TODAY(),2)+7,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8" s="25">
        <f>LET(
    payDates,PaymentsData!B2:B500,
    payAmounts,PaymentsData!D2:D500,
    payStatus,PaymentsData!F2:F500,
    txDates,CashTransactions!B2:B500,
    txAmounts,CashTransactions!D2:D500,
    startDt,TODAY()-WEEKDAY(TODAY(),2)+1,
    endDt,TODAY()-WEEKDAY(TODAY(),2)+7,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8" s="25">
        <f>D8-E8</f>
        <v/>
      </c>
      <c r="G8" s="25">
        <f>C8+F8</f>
        <v/>
      </c>
      <c r="H8" s="59">
        <f>LET(net,F8,start,C8,IFERROR(net/start,0))</f>
        <v/>
      </c>
    </row>
    <row r="9">
      <c r="B9" s="21" t="inlineStr">
        <is>
          <t>This Month</t>
        </is>
      </c>
      <c r="C9" s="25">
        <f>CashTransactions!J2</f>
        <v/>
      </c>
      <c r="D9" s="25">
        <f>LET(
    txDates,CashTransactions!B2:B500,
    txAmounts,CashTransactions!D2:D500,
    depMaturity,DepositsData!F2:F100,
    depPrincipal,DepositsData!D2:D100,
    depInterest,DepositsData!H2:H100,
    depStatus,DepositsData!G2:G100,
    startDt,DATE(YEAR(TODAY()),MONTH(TODAY()),1),
    endDt,EOMONTH(TODAY(),0),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9" s="25">
        <f>LET(
    payDates,PaymentsData!B2:B500,
    payAmounts,PaymentsData!D2:D500,
    payStatus,PaymentsData!F2:F500,
    txDates,CashTransactions!B2:B500,
    txAmounts,CashTransactions!D2:D500,
    startDt,DATE(YEAR(TODAY()),MONTH(TODAY()),1),
    endDt,EOMONTH(TODAY(),0),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9" s="25">
        <f>D9-E9</f>
        <v/>
      </c>
      <c r="G9" s="25">
        <f>C9+F9</f>
        <v/>
      </c>
      <c r="H9" s="59">
        <f>LET(net,F9,start,C9,IFERROR(net/start,0))</f>
        <v/>
      </c>
    </row>
    <row r="10">
      <c r="B10" s="21" t="inlineStr">
        <is>
          <t>Next 30 Days</t>
        </is>
      </c>
      <c r="C10" s="25">
        <f>CashTransactions!J2</f>
        <v/>
      </c>
      <c r="D10" s="25">
        <f>LET(
    txDates,CashTransactions!B2:B500,
    txAmounts,CashTransactions!D2:D500,
    depMaturity,DepositsData!F2:F100,
    depPrincipal,DepositsData!D2:D100,
    depInterest,DepositsData!H2:H100,
    depStatus,DepositsData!G2:G100,
    startDt,TODAY(),
    endDt,TODAY()+30,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10" s="25">
        <f>LET(
    payDates,PaymentsData!B2:B500,
    payAmounts,PaymentsData!D2:D500,
    payStatus,PaymentsData!F2:F500,
    txDates,CashTransactions!B2:B500,
    txAmounts,CashTransactions!D2:D500,
    startDt,TODAY(),
    endDt,TODAY()+30,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10" s="25">
        <f>D10-E10</f>
        <v/>
      </c>
      <c r="G10" s="25">
        <f>C10+F10</f>
        <v/>
      </c>
      <c r="H10" s="59">
        <f>LET(net,F10,start,C10,IFERROR(net/start,0))</f>
        <v/>
      </c>
    </row>
    <row r="11">
      <c r="B11" s="21" t="inlineStr">
        <is>
          <t>Next 60 Days</t>
        </is>
      </c>
      <c r="C11" s="25">
        <f>CashTransactions!J2</f>
        <v/>
      </c>
      <c r="D11" s="25">
        <f>LET(
    txDates,CashTransactions!B2:B500,
    txAmounts,CashTransactions!D2:D500,
    depMaturity,DepositsData!F2:F100,
    depPrincipal,DepositsData!D2:D100,
    depInterest,DepositsData!H2:H100,
    depStatus,DepositsData!G2:G100,
    startDt,TODAY(),
    endDt,TODAY()+60,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11" s="25">
        <f>LET(
    payDates,PaymentsData!B2:B500,
    payAmounts,PaymentsData!D2:D500,
    payStatus,PaymentsData!F2:F500,
    txDates,CashTransactions!B2:B500,
    txAmounts,CashTransactions!D2:D500,
    startDt,TODAY(),
    endDt,TODAY()+60,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11" s="25">
        <f>D11-E11</f>
        <v/>
      </c>
      <c r="G11" s="25">
        <f>C11+F11</f>
        <v/>
      </c>
      <c r="H11" s="59">
        <f>LET(net,F11,start,C11,IFERROR(net/start,0))</f>
        <v/>
      </c>
    </row>
    <row r="12">
      <c r="B12" s="21" t="inlineStr">
        <is>
          <t>Next 90 Days</t>
        </is>
      </c>
      <c r="C12" s="25">
        <f>CashTransactions!J2</f>
        <v/>
      </c>
      <c r="D12" s="25">
        <f>LET(
    txDates,CashTransactions!B2:B500,
    txAmounts,CashTransactions!D2:D500,
    depMaturity,DepositsData!F2:F100,
    depPrincipal,DepositsData!D2:D100,
    depInterest,DepositsData!H2:H100,
    depStatus,DepositsData!G2:G100,
    startDt,TODAY(),
    endDt,TODAY()+90,
    cashInflows,SUM(FILTER(txAmounts,(txDates&gt;=startDt)*(txDates&lt;=endDt)*(txAmounts&gt;0),0)),
    depositInflows,SUM(FILTER(depPrincipal+depInterest,(depMaturity&gt;=startDt)*(depMaturity&lt;=endDt)*(depStatus="Active"),0)),
    cashInflows+depositInflows
)</f>
        <v/>
      </c>
      <c r="E12" s="25">
        <f>LET(
    payDates,PaymentsData!B2:B500,
    payAmounts,PaymentsData!D2:D500,
    payStatus,PaymentsData!F2:F500,
    txDates,CashTransactions!B2:B500,
    txAmounts,CashTransactions!D2:D500,
    startDt,TODAY(),
    endDt,TODAY()+90,
    paymentOut,SUM(FILTER(payAmounts,(payDates&gt;=startDt)*(payDates&lt;=endDt)*(payStatus&lt;&gt;"Cancelled"),0)),
    cashOut,ABS(SUM(FILTER(txAmounts,(txDates&gt;=startDt)*(txDates&lt;=endDt)*(txAmounts&lt;0),0))),
    paymentOut+cashOut
)</f>
        <v/>
      </c>
      <c r="F12" s="25">
        <f>D12-E12</f>
        <v/>
      </c>
      <c r="G12" s="25">
        <f>C12+F12</f>
        <v/>
      </c>
      <c r="H12" s="59">
        <f>LET(net,F12,start,C12,IFERROR(net/start,0))</f>
        <v/>
      </c>
    </row>
    <row r="14">
      <c r="B14" s="17" t="inlineStr">
        <is>
          <t>Daily Positions (Next 14 Days)</t>
        </is>
      </c>
    </row>
    <row r="15">
      <c r="B15" s="61" t="inlineStr">
        <is>
          <t>Date</t>
        </is>
      </c>
      <c r="C15" s="61" t="inlineStr">
        <is>
          <t>Day</t>
        </is>
      </c>
      <c r="D15" s="61" t="inlineStr">
        <is>
          <t>Inflows</t>
        </is>
      </c>
      <c r="E15" s="61" t="inlineStr">
        <is>
          <t>Outflows</t>
        </is>
      </c>
      <c r="F15" s="61" t="inlineStr">
        <is>
          <t>Net</t>
        </is>
      </c>
      <c r="G15" s="61" t="inlineStr">
        <is>
          <t>Running Balance</t>
        </is>
      </c>
    </row>
    <row r="16">
      <c r="B16" s="62">
        <f>TODAY()+0</f>
        <v/>
      </c>
      <c r="C16" s="63">
        <f>LET(dt,B16,TEXT(dt,"dddd"))</f>
        <v/>
      </c>
      <c r="D16" s="64">
        <f>LET(
    dt,B16,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16" s="64">
        <f>LET(
    dt,B16,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16" s="64">
        <f>D16-E16</f>
        <v/>
      </c>
      <c r="G16" s="64">
        <f>CashTransactions!J2+F16</f>
        <v/>
      </c>
    </row>
    <row r="17">
      <c r="B17" s="20">
        <f>TODAY()+1</f>
        <v/>
      </c>
      <c r="C17" s="21">
        <f>LET(dt,B17,TEXT(dt,"dddd"))</f>
        <v/>
      </c>
      <c r="D17" s="23">
        <f>LET(
    dt,B17,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17" s="23">
        <f>LET(
    dt,B17,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17" s="23">
        <f>D17-E17</f>
        <v/>
      </c>
      <c r="G17" s="23">
        <f>G16+F17</f>
        <v/>
      </c>
    </row>
    <row r="18">
      <c r="B18" s="20">
        <f>TODAY()+2</f>
        <v/>
      </c>
      <c r="C18" s="21">
        <f>LET(dt,B18,TEXT(dt,"dddd"))</f>
        <v/>
      </c>
      <c r="D18" s="23">
        <f>LET(
    dt,B18,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18" s="23">
        <f>LET(
    dt,B18,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18" s="23">
        <f>D18-E18</f>
        <v/>
      </c>
      <c r="G18" s="23">
        <f>G17+F18</f>
        <v/>
      </c>
    </row>
    <row r="19">
      <c r="B19" s="20">
        <f>TODAY()+3</f>
        <v/>
      </c>
      <c r="C19" s="21">
        <f>LET(dt,B19,TEXT(dt,"dddd"))</f>
        <v/>
      </c>
      <c r="D19" s="23">
        <f>LET(
    dt,B19,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19" s="23">
        <f>LET(
    dt,B19,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19" s="23">
        <f>D19-E19</f>
        <v/>
      </c>
      <c r="G19" s="23">
        <f>G18+F19</f>
        <v/>
      </c>
    </row>
    <row r="20">
      <c r="B20" s="20">
        <f>TODAY()+4</f>
        <v/>
      </c>
      <c r="C20" s="21">
        <f>LET(dt,B20,TEXT(dt,"dddd"))</f>
        <v/>
      </c>
      <c r="D20" s="23">
        <f>LET(
    dt,B20,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0" s="23">
        <f>LET(
    dt,B20,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0" s="23">
        <f>D20-E20</f>
        <v/>
      </c>
      <c r="G20" s="23">
        <f>G19+F20</f>
        <v/>
      </c>
    </row>
    <row r="21">
      <c r="B21" s="20">
        <f>TODAY()+5</f>
        <v/>
      </c>
      <c r="C21" s="21">
        <f>LET(dt,B21,TEXT(dt,"dddd"))</f>
        <v/>
      </c>
      <c r="D21" s="23">
        <f>LET(
    dt,B21,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1" s="23">
        <f>LET(
    dt,B21,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1" s="23">
        <f>D21-E21</f>
        <v/>
      </c>
      <c r="G21" s="23">
        <f>G20+F21</f>
        <v/>
      </c>
    </row>
    <row r="22">
      <c r="B22" s="20">
        <f>TODAY()+6</f>
        <v/>
      </c>
      <c r="C22" s="21">
        <f>LET(dt,B22,TEXT(dt,"dddd"))</f>
        <v/>
      </c>
      <c r="D22" s="23">
        <f>LET(
    dt,B22,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2" s="23">
        <f>LET(
    dt,B22,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2" s="23">
        <f>D22-E22</f>
        <v/>
      </c>
      <c r="G22" s="23">
        <f>G21+F22</f>
        <v/>
      </c>
    </row>
    <row r="23">
      <c r="B23" s="20">
        <f>TODAY()+7</f>
        <v/>
      </c>
      <c r="C23" s="21">
        <f>LET(dt,B23,TEXT(dt,"dddd"))</f>
        <v/>
      </c>
      <c r="D23" s="23">
        <f>LET(
    dt,B23,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3" s="23">
        <f>LET(
    dt,B23,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3" s="23">
        <f>D23-E23</f>
        <v/>
      </c>
      <c r="G23" s="23">
        <f>G22+F23</f>
        <v/>
      </c>
    </row>
    <row r="24">
      <c r="B24" s="20">
        <f>TODAY()+8</f>
        <v/>
      </c>
      <c r="C24" s="21">
        <f>LET(dt,B24,TEXT(dt,"dddd"))</f>
        <v/>
      </c>
      <c r="D24" s="23">
        <f>LET(
    dt,B24,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4" s="23">
        <f>LET(
    dt,B24,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4" s="23">
        <f>D24-E24</f>
        <v/>
      </c>
      <c r="G24" s="23">
        <f>G23+F24</f>
        <v/>
      </c>
    </row>
    <row r="25">
      <c r="B25" s="20">
        <f>TODAY()+9</f>
        <v/>
      </c>
      <c r="C25" s="21">
        <f>LET(dt,B25,TEXT(dt,"dddd"))</f>
        <v/>
      </c>
      <c r="D25" s="23">
        <f>LET(
    dt,B25,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5" s="23">
        <f>LET(
    dt,B25,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5" s="23">
        <f>D25-E25</f>
        <v/>
      </c>
      <c r="G25" s="23">
        <f>G24+F25</f>
        <v/>
      </c>
    </row>
    <row r="26">
      <c r="B26" s="20">
        <f>TODAY()+10</f>
        <v/>
      </c>
      <c r="C26" s="21">
        <f>LET(dt,B26,TEXT(dt,"dddd"))</f>
        <v/>
      </c>
      <c r="D26" s="23">
        <f>LET(
    dt,B26,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6" s="23">
        <f>LET(
    dt,B26,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6" s="23">
        <f>D26-E26</f>
        <v/>
      </c>
      <c r="G26" s="23">
        <f>G25+F26</f>
        <v/>
      </c>
    </row>
    <row r="27">
      <c r="B27" s="20">
        <f>TODAY()+11</f>
        <v/>
      </c>
      <c r="C27" s="21">
        <f>LET(dt,B27,TEXT(dt,"dddd"))</f>
        <v/>
      </c>
      <c r="D27" s="23">
        <f>LET(
    dt,B27,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7" s="23">
        <f>LET(
    dt,B27,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7" s="23">
        <f>D27-E27</f>
        <v/>
      </c>
      <c r="G27" s="23">
        <f>G26+F27</f>
        <v/>
      </c>
    </row>
    <row r="28">
      <c r="B28" s="20">
        <f>TODAY()+12</f>
        <v/>
      </c>
      <c r="C28" s="21">
        <f>LET(dt,B28,TEXT(dt,"dddd"))</f>
        <v/>
      </c>
      <c r="D28" s="23">
        <f>LET(
    dt,B28,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8" s="23">
        <f>LET(
    dt,B28,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8" s="23">
        <f>D28-E28</f>
        <v/>
      </c>
      <c r="G28" s="23">
        <f>G27+F28</f>
        <v/>
      </c>
    </row>
    <row r="29">
      <c r="B29" s="20">
        <f>TODAY()+13</f>
        <v/>
      </c>
      <c r="C29" s="21">
        <f>LET(dt,B29,TEXT(dt,"dddd"))</f>
        <v/>
      </c>
      <c r="D29" s="23">
        <f>LET(
    dt,B29,
    txDates,CashTransactions!B:B,
    txAmounts,CashTransactions!D:D,
    depMaturity,DepositsData!F:F,
    depPrincipal,DepositsData!D:D,
    depInterest,DepositsData!H:H,
    depStatus,DepositsData!G:G,
    cashIn,SUMIF(txDates,dt,txAmounts),
    depIn,SUMPRODUCT((depMaturity=dt)*(depStatus="Active")*(depPrincipal+depInterest)),
    MAX(0,cashIn)+depIn
)</f>
        <v/>
      </c>
      <c r="E29" s="23">
        <f>LET(
    dt,B29,
    payDates,PaymentsData!B:B,
    payAmounts,PaymentsData!D:D,
    payStatus,PaymentsData!F:F,
    txDates,CashTransactions!B:B,
    txAmounts,CashTransactions!D:D,
    payments,SUMPRODUCT((payDates=dt)*(payStatus&lt;&gt;"Cancelled")*payAmounts),
    cashOut,ABS(MIN(0,SUMIF(txDates,dt,txAmounts))),
    payments+cashOut
)</f>
        <v/>
      </c>
      <c r="F29" s="23">
        <f>D29-E29</f>
        <v/>
      </c>
      <c r="G29" s="23">
        <f>G28+F29</f>
        <v/>
      </c>
    </row>
    <row r="32">
      <c r="B32" s="17" t="inlineStr">
        <is>
          <t>Weekly Positions (Next 8 Weeks)</t>
        </is>
      </c>
    </row>
    <row r="33">
      <c r="B33" s="65" t="inlineStr">
        <is>
          <t>Week Starting</t>
        </is>
      </c>
      <c r="C33" s="65" t="inlineStr">
        <is>
          <t>Week #</t>
        </is>
      </c>
      <c r="D33" s="65" t="inlineStr">
        <is>
          <t>Inflows</t>
        </is>
      </c>
      <c r="E33" s="65" t="inlineStr">
        <is>
          <t>Outflows</t>
        </is>
      </c>
      <c r="F33" s="65" t="inlineStr">
        <is>
          <t>Net</t>
        </is>
      </c>
      <c r="G33" s="65" t="inlineStr">
        <is>
          <t>End Balance</t>
        </is>
      </c>
    </row>
    <row r="34">
      <c r="B34" s="20">
        <f>TODAY()-WEEKDAY(TODAY(),2)+1+0</f>
        <v/>
      </c>
      <c r="C34" s="21">
        <f>WEEKNUM(B34)</f>
        <v/>
      </c>
      <c r="D34" s="23">
        <f>LET(
    startDt,B34,
    endDt,B34+6,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4" s="23">
        <f>LET(
    startDt,B34,
    endDt,B34+6,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4" s="23">
        <f>D34-E34</f>
        <v/>
      </c>
      <c r="G34" s="23">
        <f>CashTransactions!J2+F34</f>
        <v/>
      </c>
    </row>
    <row r="35">
      <c r="B35" s="20">
        <f>TODAY()-WEEKDAY(TODAY(),2)+1+7</f>
        <v/>
      </c>
      <c r="C35" s="21">
        <f>WEEKNUM(B35)</f>
        <v/>
      </c>
      <c r="D35" s="23">
        <f>LET(
    startDt,B35,
    endDt,B35+6,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5" s="23">
        <f>LET(
    startDt,B35,
    endDt,B35+6,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5" s="23">
        <f>D35-E35</f>
        <v/>
      </c>
      <c r="G35" s="23">
        <f>G34+F35</f>
        <v/>
      </c>
    </row>
    <row r="36">
      <c r="B36" s="20">
        <f>TODAY()-WEEKDAY(TODAY(),2)+1+14</f>
        <v/>
      </c>
      <c r="C36" s="21">
        <f>WEEKNUM(B36)</f>
        <v/>
      </c>
      <c r="D36" s="23">
        <f>LET(
    startDt,B36,
    endDt,B36+6,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6" s="23">
        <f>LET(
    startDt,B36,
    endDt,B36+6,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6" s="23">
        <f>D36-E36</f>
        <v/>
      </c>
      <c r="G36" s="23">
        <f>G35+F36</f>
        <v/>
      </c>
    </row>
    <row r="37">
      <c r="B37" s="20">
        <f>TODAY()-WEEKDAY(TODAY(),2)+1+21</f>
        <v/>
      </c>
      <c r="C37" s="21">
        <f>WEEKNUM(B37)</f>
        <v/>
      </c>
      <c r="D37" s="23">
        <f>LET(
    startDt,B37,
    endDt,B37+6,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7" s="23">
        <f>LET(
    startDt,B37,
    endDt,B37+6,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7" s="23">
        <f>D37-E37</f>
        <v/>
      </c>
      <c r="G37" s="23">
        <f>G36+F37</f>
        <v/>
      </c>
    </row>
    <row r="38">
      <c r="B38" s="20">
        <f>TODAY()-WEEKDAY(TODAY(),2)+1+28</f>
        <v/>
      </c>
      <c r="C38" s="21">
        <f>WEEKNUM(B38)</f>
        <v/>
      </c>
      <c r="D38" s="23">
        <f>LET(
    startDt,B38,
    endDt,B38+6,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8" s="23">
        <f>LET(
    startDt,B38,
    endDt,B38+6,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8" s="23">
        <f>D38-E38</f>
        <v/>
      </c>
      <c r="G38" s="23">
        <f>G37+F38</f>
        <v/>
      </c>
    </row>
    <row r="39">
      <c r="B39" s="20">
        <f>TODAY()-WEEKDAY(TODAY(),2)+1+35</f>
        <v/>
      </c>
      <c r="C39" s="21">
        <f>WEEKNUM(B39)</f>
        <v/>
      </c>
      <c r="D39" s="23">
        <f>LET(
    startDt,B39,
    endDt,B39+6,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39" s="23">
        <f>LET(
    startDt,B39,
    endDt,B39+6,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39" s="23">
        <f>D39-E39</f>
        <v/>
      </c>
      <c r="G39" s="23">
        <f>G38+F39</f>
        <v/>
      </c>
    </row>
    <row r="40">
      <c r="B40" s="20">
        <f>TODAY()-WEEKDAY(TODAY(),2)+1+42</f>
        <v/>
      </c>
      <c r="C40" s="21">
        <f>WEEKNUM(B40)</f>
        <v/>
      </c>
      <c r="D40" s="23">
        <f>LET(
    startDt,B40,
    endDt,B40+6,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40" s="23">
        <f>LET(
    startDt,B40,
    endDt,B40+6,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40" s="23">
        <f>D40-E40</f>
        <v/>
      </c>
      <c r="G40" s="23">
        <f>G39+F40</f>
        <v/>
      </c>
    </row>
    <row r="41">
      <c r="B41" s="20">
        <f>TODAY()-WEEKDAY(TODAY(),2)+1+49</f>
        <v/>
      </c>
      <c r="C41" s="21">
        <f>WEEKNUM(B41)</f>
        <v/>
      </c>
      <c r="D41" s="23">
        <f>LET(
    startDt,B41,
    endDt,B41+6,
    txDates,CashTransactions!B:B,
    txAmounts,CashTransactions!D:D,
    depMaturity,DepositsData!F:F,
    depPrincipal,DepositsData!D:D,
    depInterest,DepositsData!H:H,
    depStatus,DepositsData!G:G,
    cashIn,SUMPRODUCT((txDates&gt;=startDt)*(txDates&lt;=endDt)*(txAmounts&gt;0)*txAmounts),
    depIn,SUMPRODUCT((depMaturity&gt;=startDt)*(depMaturity&lt;=endDt)*(depStatus="Active")*(depPrincipal+depInterest)),
    cashIn+depIn
)</f>
        <v/>
      </c>
      <c r="E41" s="23">
        <f>LET(
    startDt,B41,
    endDt,B41+6,
    payDates,PaymentsData!B:B,
    payAmounts,PaymentsData!D:D,
    payStatus,PaymentsData!F:F,
    txDates,CashTransactions!B:B,
    txAmounts,CashTransactions!D:D,
    payments,SUMPRODUCT((payDates&gt;=startDt)*(payDates&lt;=endDt)*(payStatus&lt;&gt;"Cancelled")*payAmounts),
    cashOut,ABS(SUMPRODUCT((txDates&gt;=startDt)*(txDates&lt;=endDt)*(txAmounts&lt;0)*txAmounts)),
    payments+cashOut
)</f>
        <v/>
      </c>
      <c r="F41" s="23">
        <f>D41-E41</f>
        <v/>
      </c>
      <c r="G41" s="23">
        <f>G40+F41</f>
        <v/>
      </c>
    </row>
    <row r="44">
      <c r="B44" s="17" t="inlineStr">
        <is>
          <t>Monthly Positions (Next 6 Months)</t>
        </is>
      </c>
    </row>
    <row r="45">
      <c r="B45" s="66" t="inlineStr">
        <is>
          <t>Month</t>
        </is>
      </c>
      <c r="C45" s="66" t="inlineStr">
        <is>
          <t>Inflows</t>
        </is>
      </c>
      <c r="D45" s="66" t="inlineStr">
        <is>
          <t>Outflows</t>
        </is>
      </c>
      <c r="E45" s="66" t="inlineStr">
        <is>
          <t>Net Flow</t>
        </is>
      </c>
      <c r="F45" s="66" t="inlineStr">
        <is>
          <t>End Balance</t>
        </is>
      </c>
      <c r="G45" s="66" t="inlineStr">
        <is>
          <t>Deposits Maturing</t>
        </is>
      </c>
    </row>
    <row r="46">
      <c r="B46" s="21">
        <f>TEXT(EOMONTH(TODAY(),0),"MMMM YYYY")</f>
        <v/>
      </c>
      <c r="C46" s="23">
        <f>LET(
    targetMonth,MONTH(EOMONTH(TODAY(),0)),
    targetYear,YEAR(EOMONTH(TODAY(),0)),
    txDates,CashTransactions!B:B,
    txAmounts,CashTransactions!D:D,
    cashIn,SUMPRODUCT((MONTH(txDates)=targetMonth)*(YEAR(txDates)=targetYear)*(txAmounts&gt;0)*txAmounts),
    cashIn
)</f>
        <v/>
      </c>
      <c r="D46" s="23">
        <f>LET(
    targetMonth,MONTH(EOMONTH(TODAY(),0)),
    targetYear,YEAR(EOMONTH(TODAY(),0)),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46" s="23">
        <f>C46-D46</f>
        <v/>
      </c>
      <c r="F46" s="23">
        <f>CashTransactions!J2+E46</f>
        <v/>
      </c>
      <c r="G46" s="23">
        <f>LET(
    targetMonth,MONTH(EOMONTH(TODAY(),0)),
    targetYear,YEAR(EOMONTH(TODAY(),0)),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  <row r="47">
      <c r="B47" s="21">
        <f>TEXT(EOMONTH(TODAY(),1),"MMMM YYYY")</f>
        <v/>
      </c>
      <c r="C47" s="23">
        <f>LET(
    targetMonth,MONTH(EOMONTH(TODAY(),1)),
    targetYear,YEAR(EOMONTH(TODAY(),1)),
    txDates,CashTransactions!B:B,
    txAmounts,CashTransactions!D:D,
    cashIn,SUMPRODUCT((MONTH(txDates)=targetMonth)*(YEAR(txDates)=targetYear)*(txAmounts&gt;0)*txAmounts),
    cashIn
)</f>
        <v/>
      </c>
      <c r="D47" s="23">
        <f>LET(
    targetMonth,MONTH(EOMONTH(TODAY(),1)),
    targetYear,YEAR(EOMONTH(TODAY(),1)),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47" s="23">
        <f>C47-D47</f>
        <v/>
      </c>
      <c r="F47" s="23">
        <f>F46+E47</f>
        <v/>
      </c>
      <c r="G47" s="23">
        <f>LET(
    targetMonth,MONTH(EOMONTH(TODAY(),1)),
    targetYear,YEAR(EOMONTH(TODAY(),1)),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  <row r="48">
      <c r="B48" s="21">
        <f>TEXT(EOMONTH(TODAY(),2),"MMMM YYYY")</f>
        <v/>
      </c>
      <c r="C48" s="23">
        <f>LET(
    targetMonth,MONTH(EOMONTH(TODAY(),2)),
    targetYear,YEAR(EOMONTH(TODAY(),2)),
    txDates,CashTransactions!B:B,
    txAmounts,CashTransactions!D:D,
    cashIn,SUMPRODUCT((MONTH(txDates)=targetMonth)*(YEAR(txDates)=targetYear)*(txAmounts&gt;0)*txAmounts),
    cashIn
)</f>
        <v/>
      </c>
      <c r="D48" s="23">
        <f>LET(
    targetMonth,MONTH(EOMONTH(TODAY(),2)),
    targetYear,YEAR(EOMONTH(TODAY(),2)),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48" s="23">
        <f>C48-D48</f>
        <v/>
      </c>
      <c r="F48" s="23">
        <f>F47+E48</f>
        <v/>
      </c>
      <c r="G48" s="23">
        <f>LET(
    targetMonth,MONTH(EOMONTH(TODAY(),2)),
    targetYear,YEAR(EOMONTH(TODAY(),2)),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  <row r="49">
      <c r="B49" s="21">
        <f>TEXT(EOMONTH(TODAY(),3),"MMMM YYYY")</f>
        <v/>
      </c>
      <c r="C49" s="23">
        <f>LET(
    targetMonth,MONTH(EOMONTH(TODAY(),3)),
    targetYear,YEAR(EOMONTH(TODAY(),3)),
    txDates,CashTransactions!B:B,
    txAmounts,CashTransactions!D:D,
    cashIn,SUMPRODUCT((MONTH(txDates)=targetMonth)*(YEAR(txDates)=targetYear)*(txAmounts&gt;0)*txAmounts),
    cashIn
)</f>
        <v/>
      </c>
      <c r="D49" s="23">
        <f>LET(
    targetMonth,MONTH(EOMONTH(TODAY(),3)),
    targetYear,YEAR(EOMONTH(TODAY(),3)),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49" s="23">
        <f>C49-D49</f>
        <v/>
      </c>
      <c r="F49" s="23">
        <f>F48+E49</f>
        <v/>
      </c>
      <c r="G49" s="23">
        <f>LET(
    targetMonth,MONTH(EOMONTH(TODAY(),3)),
    targetYear,YEAR(EOMONTH(TODAY(),3)),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  <row r="50">
      <c r="B50" s="21">
        <f>TEXT(EOMONTH(TODAY(),4),"MMMM YYYY")</f>
        <v/>
      </c>
      <c r="C50" s="23">
        <f>LET(
    targetMonth,MONTH(EOMONTH(TODAY(),4)),
    targetYear,YEAR(EOMONTH(TODAY(),4)),
    txDates,CashTransactions!B:B,
    txAmounts,CashTransactions!D:D,
    cashIn,SUMPRODUCT((MONTH(txDates)=targetMonth)*(YEAR(txDates)=targetYear)*(txAmounts&gt;0)*txAmounts),
    cashIn
)</f>
        <v/>
      </c>
      <c r="D50" s="23">
        <f>LET(
    targetMonth,MONTH(EOMONTH(TODAY(),4)),
    targetYear,YEAR(EOMONTH(TODAY(),4)),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50" s="23">
        <f>C50-D50</f>
        <v/>
      </c>
      <c r="F50" s="23">
        <f>F49+E50</f>
        <v/>
      </c>
      <c r="G50" s="23">
        <f>LET(
    targetMonth,MONTH(EOMONTH(TODAY(),4)),
    targetYear,YEAR(EOMONTH(TODAY(),4)),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  <row r="51">
      <c r="B51" s="21">
        <f>TEXT(EOMONTH(TODAY(),5),"MMMM YYYY")</f>
        <v/>
      </c>
      <c r="C51" s="23">
        <f>LET(
    targetMonth,MONTH(EOMONTH(TODAY(),5)),
    targetYear,YEAR(EOMONTH(TODAY(),5)),
    txDates,CashTransactions!B:B,
    txAmounts,CashTransactions!D:D,
    cashIn,SUMPRODUCT((MONTH(txDates)=targetMonth)*(YEAR(txDates)=targetYear)*(txAmounts&gt;0)*txAmounts),
    cashIn
)</f>
        <v/>
      </c>
      <c r="D51" s="23">
        <f>LET(
    targetMonth,MONTH(EOMONTH(TODAY(),5)),
    targetYear,YEAR(EOMONTH(TODAY(),5)),
    payDates,PaymentsData!B:B,
    payAmounts,PaymentsData!D:D,
    payStatus,PaymentsData!F:F,
    payments,SUMPRODUCT((MONTH(payDates)=targetMonth)*(YEAR(payDates)=targetYear)*(payStatus&lt;&gt;"Cancelled")*payAmounts),
    payments
)</f>
        <v/>
      </c>
      <c r="E51" s="23">
        <f>C51-D51</f>
        <v/>
      </c>
      <c r="F51" s="23">
        <f>F50+E51</f>
        <v/>
      </c>
      <c r="G51" s="23">
        <f>LET(
    targetMonth,MONTH(EOMONTH(TODAY(),5)),
    targetYear,YEAR(EOMONTH(TODAY(),5)),
    depMaturity,DepositsData!F:F,
    depPrincipal,DepositsData!D:D,
    depInterest,DepositsData!H:H,
    depStatus,DepositsData!G:G,
    SUMPRODUCT((MONTH(depMaturity)=targetMonth)*(YEAR(depMaturity)=targetYear)*(depStatus="Active")*(depPrincipal+depInterest))
)</f>
        <v/>
      </c>
    </row>
  </sheetData>
  <mergeCells count="2">
    <mergeCell ref="B3:H3"/>
    <mergeCell ref="B2:H2"/>
  </mergeCells>
  <conditionalFormatting sqref="F7:F12">
    <cfRule type="expression" priority="1" dxfId="0">
      <formula>F7&gt;=0</formula>
    </cfRule>
    <cfRule type="expression" priority="2" dxfId="1">
      <formula>F7&lt;0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5" customWidth="1" min="4" max="4"/>
    <col width="18" customWidth="1" min="5" max="5"/>
    <col width="12" customWidth="1" min="6" max="6"/>
    <col width="30" customWidth="1" min="7" max="7"/>
  </cols>
  <sheetData>
    <row r="1">
      <c r="A1" s="29" t="inlineStr">
        <is>
          <t>Payment ID</t>
        </is>
      </c>
      <c r="B1" s="29" t="inlineStr">
        <is>
          <t>Due Date</t>
        </is>
      </c>
      <c r="C1" s="29" t="inlineStr">
        <is>
          <t>Payee</t>
        </is>
      </c>
      <c r="D1" s="29" t="inlineStr">
        <is>
          <t>Amount</t>
        </is>
      </c>
      <c r="E1" s="29" t="inlineStr">
        <is>
          <t>Category</t>
        </is>
      </c>
      <c r="F1" s="29" t="inlineStr">
        <is>
          <t>Status</t>
        </is>
      </c>
      <c r="G1" s="29" t="inlineStr">
        <is>
          <t>Notes</t>
        </is>
      </c>
    </row>
    <row r="2">
      <c r="A2" s="21" t="inlineStr">
        <is>
          <t>PAY001</t>
        </is>
      </c>
      <c r="B2" s="67" t="n">
        <v>46005.70604491312</v>
      </c>
      <c r="C2" s="21" t="inlineStr">
        <is>
          <t>ABC Suppliers</t>
        </is>
      </c>
      <c r="D2" s="22" t="n">
        <v>15000</v>
      </c>
      <c r="E2" s="21" t="inlineStr">
        <is>
          <t>Vendor</t>
        </is>
      </c>
      <c r="F2" s="21" t="inlineStr">
        <is>
          <t>Scheduled</t>
        </is>
      </c>
      <c r="G2" s="21" t="inlineStr">
        <is>
          <t>Monthly supplies</t>
        </is>
      </c>
    </row>
    <row r="3">
      <c r="A3" s="21" t="inlineStr">
        <is>
          <t>PAY002</t>
        </is>
      </c>
      <c r="B3" s="67" t="n">
        <v>46008.70604491318</v>
      </c>
      <c r="C3" s="21" t="inlineStr">
        <is>
          <t>City Utilities</t>
        </is>
      </c>
      <c r="D3" s="22" t="n">
        <v>3500</v>
      </c>
      <c r="E3" s="21" t="inlineStr">
        <is>
          <t>Utilities</t>
        </is>
      </c>
      <c r="F3" s="21" t="inlineStr">
        <is>
          <t>Pending</t>
        </is>
      </c>
      <c r="G3" s="21" t="inlineStr">
        <is>
          <t>Electric &amp; Water</t>
        </is>
      </c>
    </row>
    <row r="4">
      <c r="A4" s="21" t="inlineStr">
        <is>
          <t>PAY003</t>
        </is>
      </c>
      <c r="B4" s="67" t="n">
        <v>46010.7060449132</v>
      </c>
      <c r="C4" s="21" t="inlineStr">
        <is>
          <t>Office Rent LLC</t>
        </is>
      </c>
      <c r="D4" s="22" t="n">
        <v>25000</v>
      </c>
      <c r="E4" s="21" t="inlineStr">
        <is>
          <t>Rent</t>
        </is>
      </c>
      <c r="F4" s="21" t="inlineStr">
        <is>
          <t>Scheduled</t>
        </is>
      </c>
      <c r="G4" s="21" t="inlineStr">
        <is>
          <t>Monthly rent</t>
        </is>
      </c>
    </row>
    <row r="5">
      <c r="A5" s="21" t="inlineStr">
        <is>
          <t>PAY004</t>
        </is>
      </c>
      <c r="B5" s="67" t="n">
        <v>46013.7060449132</v>
      </c>
      <c r="C5" s="21" t="inlineStr">
        <is>
          <t>Insurance Co.</t>
        </is>
      </c>
      <c r="D5" s="22" t="n">
        <v>5000</v>
      </c>
      <c r="E5" s="21" t="inlineStr">
        <is>
          <t>Insurance</t>
        </is>
      </c>
      <c r="F5" s="21" t="inlineStr">
        <is>
          <t>Scheduled</t>
        </is>
      </c>
      <c r="G5" s="21" t="inlineStr">
        <is>
          <t>Quarterly premium</t>
        </is>
      </c>
    </row>
    <row r="6">
      <c r="A6" s="21" t="inlineStr">
        <is>
          <t>PAY005</t>
        </is>
      </c>
      <c r="B6" s="67" t="n">
        <v>46015.70604491322</v>
      </c>
      <c r="C6" s="21" t="inlineStr">
        <is>
          <t>Payroll</t>
        </is>
      </c>
      <c r="D6" s="22" t="n">
        <v>85000</v>
      </c>
      <c r="E6" s="21" t="inlineStr">
        <is>
          <t>Payroll</t>
        </is>
      </c>
      <c r="F6" s="21" t="inlineStr">
        <is>
          <t>Scheduled</t>
        </is>
      </c>
      <c r="G6" s="21" t="inlineStr">
        <is>
          <t>Bi-weekly payroll</t>
        </is>
      </c>
    </row>
    <row r="7">
      <c r="A7" s="21" t="inlineStr">
        <is>
          <t>PAY006</t>
        </is>
      </c>
      <c r="B7" s="67" t="n">
        <v>46018.70604491323</v>
      </c>
      <c r="C7" s="21" t="inlineStr">
        <is>
          <t>Tech Solutions</t>
        </is>
      </c>
      <c r="D7" s="22" t="n">
        <v>8500</v>
      </c>
      <c r="E7" s="21" t="inlineStr">
        <is>
          <t>Services</t>
        </is>
      </c>
      <c r="F7" s="21" t="inlineStr">
        <is>
          <t>Pending</t>
        </is>
      </c>
      <c r="G7" s="21" t="inlineStr">
        <is>
          <t>IT support</t>
        </is>
      </c>
    </row>
    <row r="8">
      <c r="A8" s="21" t="inlineStr">
        <is>
          <t>PAY007</t>
        </is>
      </c>
      <c r="B8" s="67" t="n">
        <v>46021.70604491324</v>
      </c>
      <c r="C8" s="21" t="inlineStr">
        <is>
          <t>Marketing Agency</t>
        </is>
      </c>
      <c r="D8" s="22" t="n">
        <v>12000</v>
      </c>
      <c r="E8" s="21" t="inlineStr">
        <is>
          <t>Services</t>
        </is>
      </c>
      <c r="F8" s="21" t="inlineStr">
        <is>
          <t>Scheduled</t>
        </is>
      </c>
      <c r="G8" s="21" t="inlineStr">
        <is>
          <t>Monthly retainer</t>
        </is>
      </c>
    </row>
    <row r="9">
      <c r="A9" s="21" t="inlineStr">
        <is>
          <t>PAY008</t>
        </is>
      </c>
      <c r="B9" s="67" t="n">
        <v>46023.70604491326</v>
      </c>
      <c r="C9" s="21" t="inlineStr">
        <is>
          <t>Office Supplies Inc</t>
        </is>
      </c>
      <c r="D9" s="22" t="n">
        <v>2500</v>
      </c>
      <c r="E9" s="21" t="inlineStr">
        <is>
          <t>Supplies</t>
        </is>
      </c>
      <c r="F9" s="21" t="inlineStr">
        <is>
          <t>Scheduled</t>
        </is>
      </c>
      <c r="G9" s="21" t="inlineStr">
        <is>
          <t>Office materials</t>
        </is>
      </c>
    </row>
    <row r="10">
      <c r="A10" s="21" t="inlineStr">
        <is>
          <t>PAY009</t>
        </is>
      </c>
      <c r="B10" s="67" t="n">
        <v>46000.70604491326</v>
      </c>
      <c r="C10" s="21" t="inlineStr">
        <is>
          <t>Contractor XYZ</t>
        </is>
      </c>
      <c r="D10" s="22" t="n">
        <v>7500</v>
      </c>
      <c r="E10" s="21" t="inlineStr">
        <is>
          <t>Services</t>
        </is>
      </c>
      <c r="F10" s="21" t="inlineStr">
        <is>
          <t>Overdue</t>
        </is>
      </c>
      <c r="G10" s="21" t="inlineStr">
        <is>
          <t>Project milestone</t>
        </is>
      </c>
    </row>
    <row r="11">
      <c r="A11" s="21" t="inlineStr">
        <is>
          <t>PAY010</t>
        </is>
      </c>
      <c r="B11" s="67" t="n">
        <v>45998.70604491328</v>
      </c>
      <c r="C11" s="21" t="inlineStr">
        <is>
          <t>Equipment Lease</t>
        </is>
      </c>
      <c r="D11" s="22" t="n">
        <v>4000</v>
      </c>
      <c r="E11" s="21" t="inlineStr">
        <is>
          <t>Other</t>
        </is>
      </c>
      <c r="F11" s="21" t="inlineStr">
        <is>
          <t>Paid</t>
        </is>
      </c>
      <c r="G11" s="21" t="inlineStr">
        <is>
          <t>Monthly lease</t>
        </is>
      </c>
    </row>
    <row r="12">
      <c r="A12" s="21" t="inlineStr">
        <is>
          <t>PAY011</t>
        </is>
      </c>
      <c r="B12" s="67" t="n">
        <v>46028.70604491328</v>
      </c>
      <c r="C12" s="21" t="inlineStr">
        <is>
          <t>Payroll</t>
        </is>
      </c>
      <c r="D12" s="22" t="n">
        <v>85000</v>
      </c>
      <c r="E12" s="21" t="inlineStr">
        <is>
          <t>Payroll</t>
        </is>
      </c>
      <c r="F12" s="21" t="inlineStr">
        <is>
          <t>Scheduled</t>
        </is>
      </c>
      <c r="G12" s="21" t="inlineStr">
        <is>
          <t>Bi-weekly payroll</t>
        </is>
      </c>
    </row>
    <row r="13">
      <c r="A13" s="21" t="inlineStr">
        <is>
          <t>PAY012</t>
        </is>
      </c>
      <c r="B13" s="67" t="n">
        <v>46031.7060449133</v>
      </c>
      <c r="C13" s="21" t="inlineStr">
        <is>
          <t>Tax Authority</t>
        </is>
      </c>
      <c r="D13" s="22" t="n">
        <v>45000</v>
      </c>
      <c r="E13" s="21" t="inlineStr">
        <is>
          <t>Taxes</t>
        </is>
      </c>
      <c r="F13" s="21" t="inlineStr">
        <is>
          <t>Scheduled</t>
        </is>
      </c>
      <c r="G13" s="21" t="inlineStr">
        <is>
          <t>Quarterly taxes</t>
        </is>
      </c>
    </row>
  </sheetData>
  <conditionalFormatting sqref="F2:F500">
    <cfRule type="expression" priority="1" dxfId="0">
      <formula>F2="Paid"</formula>
    </cfRule>
    <cfRule type="expression" priority="2" dxfId="1">
      <formula>F2="Overdue"</formula>
    </cfRule>
    <cfRule type="expression" priority="3" dxfId="2">
      <formula>F2="Pending"</formula>
    </cfRule>
  </conditionalFormatting>
  <dataValidations count="2">
    <dataValidation sqref="F2:F500" showDropDown="0" showInputMessage="0" showErrorMessage="0" allowBlank="1" type="list">
      <formula1>"Scheduled,Pending,Paid,Overdue,Cancelled"</formula1>
    </dataValidation>
    <dataValidation sqref="E2:E500" showDropDown="0" showInputMessage="0" showErrorMessage="0" allowBlank="1" type="list">
      <formula1>"Payroll,Vendor,Utilities,Rent,Insurance,Taxes,Supplies,Services,Other"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8" customWidth="1" min="4" max="4"/>
    <col width="1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1">
      <c r="A1" s="68" t="inlineStr">
        <is>
          <t>Deposit ID</t>
        </is>
      </c>
      <c r="B1" s="68" t="inlineStr">
        <is>
          <t>Bank/Institution</t>
        </is>
      </c>
      <c r="C1" s="68" t="inlineStr">
        <is>
          <t>Start Date</t>
        </is>
      </c>
      <c r="D1" s="68" t="inlineStr">
        <is>
          <t>Principal</t>
        </is>
      </c>
      <c r="E1" s="68" t="inlineStr">
        <is>
          <t>Rate</t>
        </is>
      </c>
      <c r="F1" s="68" t="inlineStr">
        <is>
          <t>Maturity Date</t>
        </is>
      </c>
      <c r="G1" s="68" t="inlineStr">
        <is>
          <t>Status</t>
        </is>
      </c>
      <c r="H1" s="68" t="inlineStr">
        <is>
          <t>Interest</t>
        </is>
      </c>
      <c r="I1" s="68" t="inlineStr">
        <is>
          <t>Notes</t>
        </is>
      </c>
    </row>
    <row r="2">
      <c r="A2" s="21" t="inlineStr">
        <is>
          <t>TD001</t>
        </is>
      </c>
      <c r="B2" s="21" t="inlineStr">
        <is>
          <t>First National Bank</t>
        </is>
      </c>
      <c r="C2" s="67" t="n">
        <v>45913.70604494948</v>
      </c>
      <c r="D2" s="22" t="n">
        <v>500000</v>
      </c>
      <c r="E2" s="69" t="n">
        <v>0.045</v>
      </c>
      <c r="F2" s="67" t="n">
        <v>46093.70604494954</v>
      </c>
      <c r="G2" s="21" t="inlineStr">
        <is>
          <t>Active</t>
        </is>
      </c>
      <c r="H2" s="22">
        <f>LET(p,D2,r,E2,start,C2,maturity,F2,days,maturity-start,p*r*days/365)</f>
        <v/>
      </c>
      <c r="I2" s="21" t="inlineStr">
        <is>
          <t>6-month CD</t>
        </is>
      </c>
    </row>
    <row r="3">
      <c r="A3" s="21" t="inlineStr">
        <is>
          <t>TD002</t>
        </is>
      </c>
      <c r="B3" s="21" t="inlineStr">
        <is>
          <t>City Credit Union</t>
        </is>
      </c>
      <c r="C3" s="67" t="n">
        <v>45943.70604494955</v>
      </c>
      <c r="D3" s="22" t="n">
        <v>250000</v>
      </c>
      <c r="E3" s="69" t="n">
        <v>0.0425</v>
      </c>
      <c r="F3" s="67" t="n">
        <v>46123.70604494956</v>
      </c>
      <c r="G3" s="21" t="inlineStr">
        <is>
          <t>Active</t>
        </is>
      </c>
      <c r="H3" s="22">
        <f>LET(p,D3,r,E3,start,C3,maturity,F3,days,maturity-start,p*r*days/365)</f>
        <v/>
      </c>
      <c r="I3" s="21" t="inlineStr">
        <is>
          <t>6-month term</t>
        </is>
      </c>
    </row>
    <row r="4">
      <c r="A4" s="21" t="inlineStr">
        <is>
          <t>TD003</t>
        </is>
      </c>
      <c r="B4" s="21" t="inlineStr">
        <is>
          <t>State Bank</t>
        </is>
      </c>
      <c r="C4" s="67" t="n">
        <v>45973.70604494957</v>
      </c>
      <c r="D4" s="22" t="n">
        <v>750000</v>
      </c>
      <c r="E4" s="69" t="n">
        <v>0.05</v>
      </c>
      <c r="F4" s="67" t="n">
        <v>46338.70604494958</v>
      </c>
      <c r="G4" s="21" t="inlineStr">
        <is>
          <t>Active</t>
        </is>
      </c>
      <c r="H4" s="22">
        <f>LET(p,D4,r,E4,start,C4,maturity,F4,days,maturity-start,p*r*days/365)</f>
        <v/>
      </c>
      <c r="I4" s="21" t="inlineStr">
        <is>
          <t>12-month CD</t>
        </is>
      </c>
    </row>
    <row r="5">
      <c r="A5" s="21" t="inlineStr">
        <is>
          <t>TD004</t>
        </is>
      </c>
      <c r="B5" s="21" t="inlineStr">
        <is>
          <t>Federal Savings</t>
        </is>
      </c>
      <c r="C5" s="67" t="n">
        <v>45823.7060449496</v>
      </c>
      <c r="D5" s="22" t="n">
        <v>300000</v>
      </c>
      <c r="E5" s="69" t="n">
        <v>0.04</v>
      </c>
      <c r="F5" s="67" t="n">
        <v>46008.7060449496</v>
      </c>
      <c r="G5" s="21" t="inlineStr">
        <is>
          <t>Active</t>
        </is>
      </c>
      <c r="H5" s="22">
        <f>LET(p,D5,r,E5,start,C5,maturity,F5,days,maturity-start,p*r*days/365)</f>
        <v/>
      </c>
      <c r="I5" s="21" t="inlineStr">
        <is>
          <t>Maturing soon</t>
        </is>
      </c>
    </row>
    <row r="6">
      <c r="A6" s="21" t="inlineStr">
        <is>
          <t>TD005</t>
        </is>
      </c>
      <c r="B6" s="21" t="inlineStr">
        <is>
          <t>Capital One</t>
        </is>
      </c>
      <c r="C6" s="67" t="n">
        <v>45883.70604494961</v>
      </c>
      <c r="D6" s="22" t="n">
        <v>400000</v>
      </c>
      <c r="E6" s="69" t="n">
        <v>0.0475</v>
      </c>
      <c r="F6" s="67" t="n">
        <v>46063.70604494962</v>
      </c>
      <c r="G6" s="21" t="inlineStr">
        <is>
          <t>Active</t>
        </is>
      </c>
      <c r="H6" s="22">
        <f>LET(p,D6,r,E6,start,C6,maturity,F6,days,maturity-start,p*r*days/365)</f>
        <v/>
      </c>
      <c r="I6" s="21" t="inlineStr">
        <is>
          <t>6-month CD</t>
        </is>
      </c>
    </row>
    <row r="7">
      <c r="A7" s="21" t="inlineStr">
        <is>
          <t>TD006</t>
        </is>
      </c>
      <c r="B7" s="21" t="inlineStr">
        <is>
          <t>Wells Fargo</t>
        </is>
      </c>
      <c r="C7" s="67" t="n">
        <v>45638.70604494963</v>
      </c>
      <c r="D7" s="22" t="n">
        <v>200000</v>
      </c>
      <c r="E7" s="69" t="n">
        <v>0.035</v>
      </c>
      <c r="F7" s="67" t="n">
        <v>45998.70604494964</v>
      </c>
      <c r="G7" s="21" t="inlineStr">
        <is>
          <t>Matured</t>
        </is>
      </c>
      <c r="H7" s="22">
        <f>LET(p,D7,r,E7,start,C7,maturity,F7,days,maturity-start,p*r*days/365)</f>
        <v/>
      </c>
      <c r="I7" s="21" t="inlineStr">
        <is>
          <t>Awaiting reinvestment</t>
        </is>
      </c>
    </row>
    <row r="8">
      <c r="A8" s="21" t="inlineStr">
        <is>
          <t>TD007</t>
        </is>
      </c>
      <c r="B8" s="21" t="inlineStr">
        <is>
          <t>Chase Bank</t>
        </is>
      </c>
      <c r="C8" s="67" t="n">
        <v>45958.70604494964</v>
      </c>
      <c r="D8" s="22" t="n">
        <v>600000</v>
      </c>
      <c r="E8" s="69" t="n">
        <v>0.0525</v>
      </c>
      <c r="F8" s="67" t="n">
        <v>46138.70604494965</v>
      </c>
      <c r="G8" s="21" t="inlineStr">
        <is>
          <t>Active</t>
        </is>
      </c>
      <c r="H8" s="22">
        <f>LET(p,D8,r,E8,start,C8,maturity,F8,days,maturity-start,p*r*days/365)</f>
        <v/>
      </c>
      <c r="I8" s="21" t="inlineStr">
        <is>
          <t>6-month CD</t>
        </is>
      </c>
    </row>
    <row r="9">
      <c r="A9" s="21" t="inlineStr">
        <is>
          <t>TD008</t>
        </is>
      </c>
      <c r="B9" s="21" t="inlineStr">
        <is>
          <t>Bank of America</t>
        </is>
      </c>
      <c r="C9" s="67" t="n">
        <v>45988.70604494966</v>
      </c>
      <c r="D9" s="22" t="n">
        <v>350000</v>
      </c>
      <c r="E9" s="69" t="n">
        <v>0.048</v>
      </c>
      <c r="F9" s="67" t="n">
        <v>46168.70604494968</v>
      </c>
      <c r="G9" s="21" t="inlineStr">
        <is>
          <t>Active</t>
        </is>
      </c>
      <c r="H9" s="22">
        <f>LET(p,D9,r,E9,start,C9,maturity,F9,days,maturity-start,p*r*days/365)</f>
        <v/>
      </c>
      <c r="I9" s="21" t="inlineStr">
        <is>
          <t>6-month term</t>
        </is>
      </c>
    </row>
  </sheetData>
  <dataValidations count="1">
    <dataValidation sqref="G2:G100" showDropDown="0" showInputMessage="0" showErrorMessage="0" allowBlank="1" type="list">
      <formula1>"Active,Matured,Withdrawn,Renewed"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25" customWidth="1" min="5" max="5"/>
    <col width="18" customWidth="1" min="6" max="6"/>
    <col width="15" customWidth="1" min="7" max="7"/>
    <col width="15" customWidth="1" min="8" max="8"/>
    <col width="30" customWidth="1" min="9" max="9"/>
    <col width="18" customWidth="1" min="10" max="10"/>
  </cols>
  <sheetData>
    <row r="1">
      <c r="A1" s="70" t="inlineStr">
        <is>
          <t>Trans ID</t>
        </is>
      </c>
      <c r="B1" s="70" t="inlineStr">
        <is>
          <t>Date</t>
        </is>
      </c>
      <c r="C1" s="70" t="inlineStr">
        <is>
          <t>Type</t>
        </is>
      </c>
      <c r="D1" s="70" t="inlineStr">
        <is>
          <t>Amount</t>
        </is>
      </c>
      <c r="E1" s="70" t="inlineStr">
        <is>
          <t>Description</t>
        </is>
      </c>
      <c r="F1" s="70" t="inlineStr">
        <is>
          <t>Category</t>
        </is>
      </c>
      <c r="G1" s="70" t="inlineStr">
        <is>
          <t>Account</t>
        </is>
      </c>
      <c r="H1" s="70" t="inlineStr">
        <is>
          <t>Reference</t>
        </is>
      </c>
      <c r="I1" s="70" t="inlineStr">
        <is>
          <t>Notes</t>
        </is>
      </c>
      <c r="J1" s="70" t="inlineStr">
        <is>
          <t>Running Balance</t>
        </is>
      </c>
    </row>
    <row r="2">
      <c r="A2" s="21" t="inlineStr">
        <is>
          <t>TRX001</t>
        </is>
      </c>
      <c r="B2" s="67" t="n">
        <v>45993.70604498234</v>
      </c>
      <c r="C2" s="21" t="inlineStr">
        <is>
          <t>Inflow</t>
        </is>
      </c>
      <c r="D2" s="22" t="n">
        <v>150000</v>
      </c>
      <c r="E2" s="21" t="inlineStr">
        <is>
          <t>Customer Payment - ABC Corp</t>
        </is>
      </c>
      <c r="F2" s="21" t="inlineStr">
        <is>
          <t>Revenue</t>
        </is>
      </c>
      <c r="G2" s="21" t="inlineStr">
        <is>
          <t>Operating</t>
        </is>
      </c>
      <c r="H2" s="21" t="inlineStr">
        <is>
          <t>INV-2024-001</t>
        </is>
      </c>
      <c r="I2" s="21" t="inlineStr"/>
      <c r="J2" s="71" t="n">
        <v>2650000</v>
      </c>
    </row>
    <row r="3">
      <c r="A3" s="21" t="inlineStr">
        <is>
          <t>TRX002</t>
        </is>
      </c>
      <c r="B3" s="67" t="n">
        <v>45994.7060449824</v>
      </c>
      <c r="C3" s="21" t="inlineStr">
        <is>
          <t>Outflow</t>
        </is>
      </c>
      <c r="D3" s="22" t="n">
        <v>-45000</v>
      </c>
      <c r="E3" s="21" t="inlineStr">
        <is>
          <t>Supplier Payment</t>
        </is>
      </c>
      <c r="F3" s="21" t="inlineStr">
        <is>
          <t>COGS</t>
        </is>
      </c>
      <c r="G3" s="21" t="inlineStr">
        <is>
          <t>Operating</t>
        </is>
      </c>
      <c r="H3" s="21" t="inlineStr">
        <is>
          <t>PO-2024-123</t>
        </is>
      </c>
      <c r="I3" s="21" t="inlineStr"/>
      <c r="J3" s="71" t="n">
        <v>2605000</v>
      </c>
    </row>
    <row r="4">
      <c r="A4" s="21" t="inlineStr">
        <is>
          <t>TRX003</t>
        </is>
      </c>
      <c r="B4" s="67" t="n">
        <v>45995.7060449824</v>
      </c>
      <c r="C4" s="21" t="inlineStr">
        <is>
          <t>Inflow</t>
        </is>
      </c>
      <c r="D4" s="22" t="n">
        <v>200000</v>
      </c>
      <c r="E4" s="21" t="inlineStr">
        <is>
          <t>Customer Payment - XYZ Inc</t>
        </is>
      </c>
      <c r="F4" s="21" t="inlineStr">
        <is>
          <t>Revenue</t>
        </is>
      </c>
      <c r="G4" s="21" t="inlineStr">
        <is>
          <t>Operating</t>
        </is>
      </c>
      <c r="H4" s="21" t="inlineStr">
        <is>
          <t>INV-2024-002</t>
        </is>
      </c>
      <c r="I4" s="21" t="inlineStr"/>
      <c r="J4" s="71" t="n">
        <v>2805000</v>
      </c>
    </row>
    <row r="5">
      <c r="A5" s="21" t="inlineStr">
        <is>
          <t>TRX004</t>
        </is>
      </c>
      <c r="B5" s="67" t="n">
        <v>45996.70604498241</v>
      </c>
      <c r="C5" s="21" t="inlineStr">
        <is>
          <t>Outflow</t>
        </is>
      </c>
      <c r="D5" s="22" t="n">
        <v>-85000</v>
      </c>
      <c r="E5" s="21" t="inlineStr">
        <is>
          <t>Payroll</t>
        </is>
      </c>
      <c r="F5" s="21" t="inlineStr">
        <is>
          <t>Payroll</t>
        </is>
      </c>
      <c r="G5" s="21" t="inlineStr">
        <is>
          <t>Operating</t>
        </is>
      </c>
      <c r="H5" s="21" t="inlineStr">
        <is>
          <t>PR-2024-24</t>
        </is>
      </c>
      <c r="I5" s="21" t="inlineStr">
        <is>
          <t>Bi-weekly</t>
        </is>
      </c>
      <c r="J5" s="71" t="n">
        <v>2720000</v>
      </c>
    </row>
    <row r="6">
      <c r="A6" s="21" t="inlineStr">
        <is>
          <t>TRX005</t>
        </is>
      </c>
      <c r="B6" s="67" t="n">
        <v>45998.70604498242</v>
      </c>
      <c r="C6" s="21" t="inlineStr">
        <is>
          <t>Inflow</t>
        </is>
      </c>
      <c r="D6" s="22" t="n">
        <v>75000</v>
      </c>
      <c r="E6" s="21" t="inlineStr">
        <is>
          <t>Customer Payment - DEF Ltd</t>
        </is>
      </c>
      <c r="F6" s="21" t="inlineStr">
        <is>
          <t>Revenue</t>
        </is>
      </c>
      <c r="G6" s="21" t="inlineStr">
        <is>
          <t>Operating</t>
        </is>
      </c>
      <c r="H6" s="21" t="inlineStr">
        <is>
          <t>INV-2024-003</t>
        </is>
      </c>
      <c r="I6" s="21" t="inlineStr"/>
      <c r="J6" s="71" t="n">
        <v>2795000</v>
      </c>
    </row>
    <row r="7">
      <c r="A7" s="21" t="inlineStr">
        <is>
          <t>TRX006</t>
        </is>
      </c>
      <c r="B7" s="67" t="n">
        <v>45999.70604498243</v>
      </c>
      <c r="C7" s="21" t="inlineStr">
        <is>
          <t>Outflow</t>
        </is>
      </c>
      <c r="D7" s="22" t="n">
        <v>-25000</v>
      </c>
      <c r="E7" s="21" t="inlineStr">
        <is>
          <t>Office Rent</t>
        </is>
      </c>
      <c r="F7" s="21" t="inlineStr">
        <is>
          <t>Rent</t>
        </is>
      </c>
      <c r="G7" s="21" t="inlineStr">
        <is>
          <t>Operating</t>
        </is>
      </c>
      <c r="H7" s="21" t="inlineStr">
        <is>
          <t>RENT-DEC</t>
        </is>
      </c>
      <c r="I7" s="21" t="inlineStr">
        <is>
          <t>Monthly</t>
        </is>
      </c>
      <c r="J7" s="71" t="n">
        <v>2770000</v>
      </c>
    </row>
    <row r="8">
      <c r="A8" s="21" t="inlineStr">
        <is>
          <t>TRX007</t>
        </is>
      </c>
      <c r="B8" s="67" t="n">
        <v>46000.70604498244</v>
      </c>
      <c r="C8" s="21" t="inlineStr">
        <is>
          <t>Inflow</t>
        </is>
      </c>
      <c r="D8" s="22" t="n">
        <v>500000</v>
      </c>
      <c r="E8" s="21" t="inlineStr">
        <is>
          <t>TD Maturity - Wells Fargo</t>
        </is>
      </c>
      <c r="F8" s="21" t="inlineStr">
        <is>
          <t>Interest</t>
        </is>
      </c>
      <c r="G8" s="21" t="inlineStr">
        <is>
          <t>Investments</t>
        </is>
      </c>
      <c r="H8" s="21" t="inlineStr">
        <is>
          <t>TD006</t>
        </is>
      </c>
      <c r="I8" s="21" t="inlineStr">
        <is>
          <t>Plus interest</t>
        </is>
      </c>
      <c r="J8" s="71" t="n">
        <v>3270000</v>
      </c>
    </row>
    <row r="9">
      <c r="A9" s="21" t="inlineStr">
        <is>
          <t>TRX008</t>
        </is>
      </c>
      <c r="B9" s="67" t="n">
        <v>46001.70604498246</v>
      </c>
      <c r="C9" s="21" t="inlineStr">
        <is>
          <t>Outflow</t>
        </is>
      </c>
      <c r="D9" s="22" t="n">
        <v>-350000</v>
      </c>
      <c r="E9" s="21" t="inlineStr">
        <is>
          <t>New Time Deposit</t>
        </is>
      </c>
      <c r="F9" s="21" t="inlineStr">
        <is>
          <t>Investment</t>
        </is>
      </c>
      <c r="G9" s="21" t="inlineStr">
        <is>
          <t>Investments</t>
        </is>
      </c>
      <c r="H9" s="21" t="inlineStr">
        <is>
          <t>TD008</t>
        </is>
      </c>
      <c r="I9" s="21" t="inlineStr">
        <is>
          <t>6-month term</t>
        </is>
      </c>
      <c r="J9" s="71" t="n">
        <v>2920000</v>
      </c>
    </row>
    <row r="10">
      <c r="A10" s="21" t="inlineStr">
        <is>
          <t>TRX009</t>
        </is>
      </c>
      <c r="B10" s="67" t="n">
        <v>46002.70604498246</v>
      </c>
      <c r="C10" s="21" t="inlineStr">
        <is>
          <t>Inflow</t>
        </is>
      </c>
      <c r="D10" s="22" t="n">
        <v>125000</v>
      </c>
      <c r="E10" s="21" t="inlineStr">
        <is>
          <t>Customer Payment - GHI Co</t>
        </is>
      </c>
      <c r="F10" s="21" t="inlineStr">
        <is>
          <t>Revenue</t>
        </is>
      </c>
      <c r="G10" s="21" t="inlineStr">
        <is>
          <t>Operating</t>
        </is>
      </c>
      <c r="H10" s="21" t="inlineStr">
        <is>
          <t>INV-2024-004</t>
        </is>
      </c>
      <c r="I10" s="21" t="inlineStr"/>
      <c r="J10" s="71" t="n">
        <v>3045000</v>
      </c>
    </row>
    <row r="11">
      <c r="A11" s="21" t="inlineStr">
        <is>
          <t>TRX010</t>
        </is>
      </c>
      <c r="B11" s="67" t="n">
        <v>46003.70604498248</v>
      </c>
      <c r="C11" s="21" t="inlineStr">
        <is>
          <t>Outflow</t>
        </is>
      </c>
      <c r="D11" s="22" t="n">
        <v>-15000</v>
      </c>
      <c r="E11" s="21" t="inlineStr">
        <is>
          <t>Utility Bills</t>
        </is>
      </c>
      <c r="F11" s="21" t="inlineStr">
        <is>
          <t>Utilities</t>
        </is>
      </c>
      <c r="G11" s="21" t="inlineStr">
        <is>
          <t>Operating</t>
        </is>
      </c>
      <c r="H11" s="21" t="inlineStr">
        <is>
          <t>UTIL-DEC</t>
        </is>
      </c>
      <c r="I11" s="21" t="inlineStr">
        <is>
          <t>Electric, Water, Gas</t>
        </is>
      </c>
      <c r="J11" s="71" t="n">
        <v>3030000</v>
      </c>
    </row>
  </sheetData>
  <conditionalFormatting sqref="D2:D500">
    <cfRule type="expression" priority="1" dxfId="4">
      <formula>D2&gt;0</formula>
    </cfRule>
    <cfRule type="expression" priority="2" dxfId="5">
      <formula>D2&lt;0</formula>
    </cfRule>
  </conditionalFormatting>
  <dataValidations count="1">
    <dataValidation sqref="C2:C500" showDropDown="0" showInputMessage="0" showErrorMessage="0" allowBlank="1" type="list">
      <formula1>"Inflow,Outflow"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B2" s="27" t="inlineStr">
        <is>
          <t>Settings &amp; Configuration</t>
        </is>
      </c>
    </row>
    <row r="4">
      <c r="B4" s="17" t="inlineStr">
        <is>
          <t>Company Information</t>
        </is>
      </c>
    </row>
    <row r="5">
      <c r="B5" s="35" t="inlineStr">
        <is>
          <t>Company Name:</t>
        </is>
      </c>
      <c r="C5" s="72" t="inlineStr">
        <is>
          <t>Your Company Name</t>
        </is>
      </c>
    </row>
    <row r="6">
      <c r="B6" s="35" t="inlineStr">
        <is>
          <t>Currency:</t>
        </is>
      </c>
      <c r="C6" s="72" t="inlineStr">
        <is>
          <t>USD</t>
        </is>
      </c>
    </row>
    <row r="7">
      <c r="B7" s="35" t="inlineStr">
        <is>
          <t>Fiscal Year Start:</t>
        </is>
      </c>
      <c r="C7" s="72" t="inlineStr">
        <is>
          <t>January</t>
        </is>
      </c>
    </row>
    <row r="8">
      <c r="B8" s="35" t="inlineStr">
        <is>
          <t>Default Payment Terms:</t>
        </is>
      </c>
      <c r="C8" s="72" t="inlineStr">
        <is>
          <t>Net 30</t>
        </is>
      </c>
    </row>
    <row r="11">
      <c r="B11" s="17" t="inlineStr">
        <is>
          <t>Payment Categories</t>
        </is>
      </c>
      <c r="D11" s="17" t="inlineStr">
        <is>
          <t>Status Definitions</t>
        </is>
      </c>
    </row>
    <row r="12">
      <c r="B12" s="35" t="inlineStr">
        <is>
          <t>Payroll</t>
        </is>
      </c>
      <c r="D12" s="73" t="inlineStr">
        <is>
          <t>Scheduled</t>
        </is>
      </c>
      <c r="E12" s="74" t="inlineStr">
        <is>
          <t>Future payment, not yet processed</t>
        </is>
      </c>
    </row>
    <row r="13">
      <c r="B13" s="35" t="inlineStr">
        <is>
          <t>Vendor</t>
        </is>
      </c>
      <c r="D13" s="73" t="inlineStr">
        <is>
          <t>Pending</t>
        </is>
      </c>
      <c r="E13" s="74" t="inlineStr">
        <is>
          <t>Payment initiated, awaiting completion</t>
        </is>
      </c>
    </row>
    <row r="14">
      <c r="B14" s="35" t="inlineStr">
        <is>
          <t>Utilities</t>
        </is>
      </c>
      <c r="D14" s="73" t="inlineStr">
        <is>
          <t>Paid</t>
        </is>
      </c>
      <c r="E14" s="74" t="inlineStr">
        <is>
          <t>Payment completed successfully</t>
        </is>
      </c>
    </row>
    <row r="15">
      <c r="B15" s="35" t="inlineStr">
        <is>
          <t>Rent</t>
        </is>
      </c>
      <c r="D15" s="73" t="inlineStr">
        <is>
          <t>Overdue</t>
        </is>
      </c>
      <c r="E15" s="74" t="inlineStr">
        <is>
          <t>Payment past due date</t>
        </is>
      </c>
    </row>
    <row r="16">
      <c r="B16" s="35" t="inlineStr">
        <is>
          <t>Insurance</t>
        </is>
      </c>
      <c r="D16" s="73" t="inlineStr">
        <is>
          <t>Cancelled</t>
        </is>
      </c>
      <c r="E16" s="74" t="inlineStr">
        <is>
          <t>Payment cancelled</t>
        </is>
      </c>
    </row>
    <row r="17">
      <c r="B17" s="35" t="inlineStr">
        <is>
          <t>Taxes</t>
        </is>
      </c>
    </row>
    <row r="18">
      <c r="B18" s="35" t="inlineStr">
        <is>
          <t>Supplies</t>
        </is>
      </c>
    </row>
    <row r="19">
      <c r="B19" s="35" t="inlineStr">
        <is>
          <t>Services</t>
        </is>
      </c>
    </row>
    <row r="20">
      <c r="B20" s="35" t="inlineStr">
        <is>
          <t>Other</t>
        </is>
      </c>
    </row>
    <row r="22">
      <c r="B22" s="17" t="inlineStr">
        <is>
          <t>Alert Thresholds</t>
        </is>
      </c>
    </row>
    <row r="23">
      <c r="B23" s="35" t="inlineStr">
        <is>
          <t>Minimum Cash Balance:</t>
        </is>
      </c>
      <c r="C23" s="72" t="n">
        <v>100000</v>
      </c>
      <c r="D23" s="74" t="inlineStr">
        <is>
          <t>Alert when balance falls below</t>
        </is>
      </c>
    </row>
    <row r="24">
      <c r="B24" s="35" t="inlineStr">
        <is>
          <t>Days Before Maturity Alert:</t>
        </is>
      </c>
      <c r="C24" s="72" t="n">
        <v>30</v>
      </c>
      <c r="D24" s="74" t="inlineStr">
        <is>
          <t>Days before deposit maturity</t>
        </is>
      </c>
    </row>
    <row r="25">
      <c r="B25" s="35" t="inlineStr">
        <is>
          <t>Days Before Payment Due:</t>
        </is>
      </c>
      <c r="C25" s="72" t="n">
        <v>7</v>
      </c>
      <c r="D25" s="74" t="inlineStr">
        <is>
          <t>Days before payment reminder</t>
        </is>
      </c>
    </row>
    <row r="28">
      <c r="B28" s="17" t="inlineStr">
        <is>
          <t>Modern Formula Reference</t>
        </is>
      </c>
    </row>
    <row r="29">
      <c r="B29" s="75" t="inlineStr">
        <is>
          <t>LET</t>
        </is>
      </c>
      <c r="C29" s="74" t="inlineStr">
        <is>
          <t>Defines named variables within formulas for clarity</t>
        </is>
      </c>
    </row>
    <row r="30">
      <c r="B30" s="75" t="inlineStr">
        <is>
          <t>FILTER</t>
        </is>
      </c>
      <c r="C30" s="74" t="inlineStr">
        <is>
          <t>Returns array of values that meet criteria</t>
        </is>
      </c>
    </row>
    <row r="31">
      <c r="B31" s="75" t="inlineStr">
        <is>
          <t>XLOOKUP</t>
        </is>
      </c>
      <c r="C31" s="74" t="inlineStr">
        <is>
          <t>Modern replacement for VLOOKUP/INDEX-MATCH</t>
        </is>
      </c>
    </row>
    <row r="32">
      <c r="B32" s="75" t="inlineStr">
        <is>
          <t>SORT</t>
        </is>
      </c>
      <c r="C32" s="74" t="inlineStr">
        <is>
          <t>Sorts array by specified column</t>
        </is>
      </c>
    </row>
    <row r="33">
      <c r="B33" s="75" t="inlineStr">
        <is>
          <t>HSTACK</t>
        </is>
      </c>
      <c r="C33" s="74" t="inlineStr">
        <is>
          <t>Horizontally stacks arrays into single array</t>
        </is>
      </c>
    </row>
    <row r="34">
      <c r="B34" s="75" t="inlineStr">
        <is>
          <t>LAMBDA</t>
        </is>
      </c>
      <c r="C34" s="74" t="inlineStr">
        <is>
          <t>Creates custom reusable functions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2025-12-12T16:56:42Z</dcterms:created>
  <dcterms:modified xsi:type="dcterms:W3CDTF">2025-12-12T16:56:42Z</dcterms:modified>
</cp:coreProperties>
</file>